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style6.xml" ContentType="application/vnd.ms-office.chartsty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style5.xml" ContentType="application/vnd.ms-office.chartstyle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style3.xml" ContentType="application/vnd.ms-office.chartstyle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olors6.xml" ContentType="application/vnd.ms-office.chartcolorstyl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/colors5.xml" ContentType="application/vnd.ms-office.chartcolorstyle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charts/colors3.xml" ContentType="application/vnd.ms-office.chartcolor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2590" windowHeight="12300" activeTab="7"/>
  </bookViews>
  <sheets>
    <sheet name="CN" sheetId="37" r:id="rId1"/>
    <sheet name="TOC" sheetId="23" r:id="rId2"/>
    <sheet name="SE" sheetId="38" r:id="rId3"/>
    <sheet name="OS" sheetId="32" r:id="rId4"/>
    <sheet name="OS lab" sheetId="36" r:id="rId5"/>
    <sheet name="DBS lab" sheetId="35" r:id="rId6"/>
    <sheet name="CN  lab" sheetId="34" r:id="rId7"/>
    <sheet name="DBMS" sheetId="40" r:id="rId8"/>
    <sheet name="COI" sheetId="41" r:id="rId9"/>
  </sheets>
  <definedNames>
    <definedName name="_xlnm.Print_Area" localSheetId="0">CN!$A$1:$W$93</definedName>
    <definedName name="_xlnm.Print_Area" localSheetId="6">'CN  lab'!#REF!</definedName>
    <definedName name="_xlnm.Print_Area" localSheetId="5">'DBS lab'!$A$1:$W$90</definedName>
    <definedName name="_xlnm.Print_Area" localSheetId="3">OS!$A$1:$W$93</definedName>
    <definedName name="_xlnm.Print_Area" localSheetId="4">'OS lab'!$A$1:$W$95</definedName>
    <definedName name="_xlnm.Print_Area" localSheetId="1">TOC!$A$1:$W$94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8" i="41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B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9" i="40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6"/>
  <c r="V15"/>
  <c r="V14"/>
  <c r="V13"/>
  <c r="V12"/>
  <c r="V11"/>
  <c r="V10"/>
  <c r="V9"/>
  <c r="V78" i="34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9" i="35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V66"/>
  <c r="V65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68" i="36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8" i="32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6" i="38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9" i="23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8" i="37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V71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</calcChain>
</file>

<file path=xl/sharedStrings.xml><?xml version="1.0" encoding="utf-8"?>
<sst xmlns="http://schemas.openxmlformats.org/spreadsheetml/2006/main" count="207" uniqueCount="40">
  <si>
    <t>DEPARTMENT OF COMPUTER SCIENCE AND ENGINEERING</t>
  </si>
  <si>
    <t xml:space="preserve">                              </t>
  </si>
  <si>
    <t xml:space="preserve">        Feed Back Report - I (BATCH:2024-28) [2025-26 :  ODD SEM]</t>
  </si>
  <si>
    <t xml:space="preserve">Year : III / V Sem - B Sec.                                              </t>
  </si>
  <si>
    <t>Subject : Computer Networks</t>
  </si>
  <si>
    <t>Sl.No</t>
  </si>
  <si>
    <t>Total</t>
  </si>
  <si>
    <t>Average W.A</t>
  </si>
  <si>
    <t>W.A</t>
  </si>
  <si>
    <t>PLANNING AND ORGANISATION</t>
  </si>
  <si>
    <t>PRESENTATION / COMMUNICATION</t>
  </si>
  <si>
    <t>CLASS MGMT. AND STUDENT’S INTERACTION</t>
  </si>
  <si>
    <t>SUBJECT COVERAGE AND STUDENT EVALUATION</t>
  </si>
  <si>
    <t>Students Response</t>
  </si>
  <si>
    <t>CLASS MANAGEMENT AND STUDENT’S INTERACTION</t>
  </si>
  <si>
    <t>STAFF SIGN</t>
  </si>
  <si>
    <t>CLASS ADVISOR</t>
  </si>
  <si>
    <t>HOD</t>
  </si>
  <si>
    <t xml:space="preserve">        Feed Back Report - I (BATCH:2024-28) [2025-26 : ODDSEM]</t>
  </si>
  <si>
    <t xml:space="preserve">Year : III/ V Sem - B Sec. </t>
  </si>
  <si>
    <t>Subject : DSA</t>
  </si>
  <si>
    <t>THEORY OF COMPUTATION</t>
  </si>
  <si>
    <t>TOTAL</t>
  </si>
  <si>
    <t>AVERAGE</t>
  </si>
  <si>
    <t xml:space="preserve">        Feed Back Report - I (BATCH:2024-28) [2026-27 :  ODD SEM]</t>
  </si>
  <si>
    <t xml:space="preserve">Year : III / V Sem - BSec. </t>
  </si>
  <si>
    <t>Subject : MPMC</t>
  </si>
  <si>
    <t>SOFTWARE ENGINEERING</t>
  </si>
  <si>
    <r>
      <rPr>
        <b/>
        <sz val="16"/>
        <color theme="1"/>
        <rFont val="Times New Roman"/>
        <charset val="134"/>
      </rPr>
      <t xml:space="preserve">        Feed Back Report - I (BATCH:2024-28) [2025-26 :  ODD</t>
    </r>
    <r>
      <rPr>
        <sz val="16"/>
        <color theme="1"/>
        <rFont val="Times New Roman"/>
        <charset val="134"/>
      </rPr>
      <t xml:space="preserve"> </t>
    </r>
    <r>
      <rPr>
        <b/>
        <sz val="16"/>
        <color theme="1"/>
        <rFont val="Times New Roman"/>
        <charset val="134"/>
      </rPr>
      <t>SEM]</t>
    </r>
  </si>
  <si>
    <t xml:space="preserve">Year : III / V Sem - B Sec. </t>
  </si>
  <si>
    <t>Subject : OB</t>
  </si>
  <si>
    <t>OS</t>
  </si>
  <si>
    <t>Subject :Java Lab</t>
  </si>
  <si>
    <t>OS lab</t>
  </si>
  <si>
    <t>SUBJECT:DBS LAB</t>
  </si>
  <si>
    <t>Subject :COA LAB</t>
  </si>
  <si>
    <t>CN lab</t>
  </si>
  <si>
    <t>Database Systems</t>
  </si>
  <si>
    <t xml:space="preserve"> </t>
  </si>
  <si>
    <t>Subject:COI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</si>
</sst>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6" formatCode="0.00_);[Red]\(0.00\)"/>
  </numFmts>
  <fonts count="2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5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3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b/>
      <u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8"/>
      <color theme="1"/>
      <name val="Arial"/>
      <charset val="134"/>
    </font>
    <font>
      <b/>
      <u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1" fillId="0" borderId="0"/>
  </cellStyleXfs>
  <cellXfs count="124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2" fontId="9" fillId="0" borderId="0" xfId="0" applyNumberFormat="1" applyFont="1"/>
    <xf numFmtId="166" fontId="10" fillId="0" borderId="5" xfId="0" applyNumberFormat="1" applyFont="1" applyBorder="1" applyAlignment="1">
      <alignment horizontal="center" vertical="center" wrapText="1"/>
    </xf>
    <xf numFmtId="166" fontId="11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center" wrapText="1"/>
    </xf>
    <xf numFmtId="0" fontId="9" fillId="0" borderId="6" xfId="0" applyFont="1" applyBorder="1" applyAlignment="1">
      <alignment horizontal="center"/>
    </xf>
    <xf numFmtId="166" fontId="12" fillId="0" borderId="6" xfId="0" applyNumberFormat="1" applyFont="1" applyBorder="1" applyAlignment="1">
      <alignment horizontal="right" wrapText="1"/>
    </xf>
    <xf numFmtId="2" fontId="11" fillId="0" borderId="5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/>
    <xf numFmtId="166" fontId="12" fillId="0" borderId="6" xfId="0" applyNumberFormat="1" applyFont="1" applyBorder="1" applyAlignment="1">
      <alignment horizontal="center" wrapText="1"/>
    </xf>
    <xf numFmtId="0" fontId="6" fillId="0" borderId="0" xfId="0" applyFont="1"/>
    <xf numFmtId="0" fontId="8" fillId="0" borderId="6" xfId="0" applyFont="1" applyBorder="1" applyAlignment="1">
      <alignment horizontal="center" wrapText="1"/>
    </xf>
    <xf numFmtId="43" fontId="11" fillId="0" borderId="6" xfId="1" applyFont="1" applyBorder="1" applyAlignment="1">
      <alignment horizontal="center" vertical="center"/>
    </xf>
    <xf numFmtId="43" fontId="10" fillId="0" borderId="5" xfId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6" xfId="0" applyFont="1" applyBorder="1" applyAlignment="1">
      <alignment horizontal="center" vertical="center"/>
    </xf>
    <xf numFmtId="166" fontId="19" fillId="0" borderId="6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66" fontId="9" fillId="0" borderId="0" xfId="0" applyNumberFormat="1" applyFont="1"/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10" fillId="0" borderId="6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3" fillId="0" borderId="0" xfId="3" applyFont="1"/>
    <xf numFmtId="0" fontId="4" fillId="0" borderId="0" xfId="3" applyFont="1"/>
    <xf numFmtId="0" fontId="5" fillId="0" borderId="0" xfId="3" applyFont="1"/>
    <xf numFmtId="0" fontId="6" fillId="0" borderId="1" xfId="3" applyFont="1" applyBorder="1"/>
    <xf numFmtId="0" fontId="7" fillId="0" borderId="0" xfId="3" applyFont="1"/>
    <xf numFmtId="0" fontId="8" fillId="0" borderId="2" xfId="3" applyFont="1" applyBorder="1" applyAlignment="1">
      <alignment horizontal="center" wrapText="1"/>
    </xf>
    <xf numFmtId="0" fontId="9" fillId="0" borderId="2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21" fillId="0" borderId="0" xfId="3"/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2" fontId="9" fillId="0" borderId="0" xfId="3" applyNumberFormat="1" applyFont="1"/>
    <xf numFmtId="166" fontId="10" fillId="0" borderId="6" xfId="3" applyNumberFormat="1" applyFont="1" applyBorder="1" applyAlignment="1">
      <alignment horizontal="center" vertical="center"/>
    </xf>
    <xf numFmtId="166" fontId="10" fillId="0" borderId="5" xfId="3" applyNumberFormat="1" applyFont="1" applyBorder="1" applyAlignment="1">
      <alignment horizontal="center" vertical="center" wrapText="1"/>
    </xf>
    <xf numFmtId="166" fontId="11" fillId="0" borderId="6" xfId="3" applyNumberFormat="1" applyFont="1" applyBorder="1" applyAlignment="1">
      <alignment horizontal="center" vertical="center"/>
    </xf>
    <xf numFmtId="166" fontId="21" fillId="0" borderId="0" xfId="3" applyNumberFormat="1"/>
    <xf numFmtId="0" fontId="21" fillId="0" borderId="0" xfId="3" applyAlignment="1">
      <alignment horizontal="center"/>
    </xf>
    <xf numFmtId="0" fontId="12" fillId="0" borderId="0" xfId="3" applyFont="1" applyAlignment="1">
      <alignment horizontal="right" wrapText="1"/>
    </xf>
    <xf numFmtId="0" fontId="12" fillId="0" borderId="0" xfId="3" applyFont="1" applyAlignment="1">
      <alignment horizontal="center" wrapText="1"/>
    </xf>
    <xf numFmtId="0" fontId="11" fillId="0" borderId="0" xfId="3" applyFont="1" applyAlignment="1">
      <alignment horizontal="center"/>
    </xf>
    <xf numFmtId="0" fontId="9" fillId="0" borderId="6" xfId="3" applyFont="1" applyBorder="1" applyAlignment="1">
      <alignment horizontal="center"/>
    </xf>
    <xf numFmtId="2" fontId="11" fillId="0" borderId="5" xfId="3" applyNumberFormat="1" applyFont="1" applyBorder="1" applyAlignment="1">
      <alignment horizontal="center"/>
    </xf>
    <xf numFmtId="0" fontId="17" fillId="0" borderId="6" xfId="3" applyFont="1" applyBorder="1" applyAlignment="1">
      <alignment horizontal="center" wrapText="1"/>
    </xf>
    <xf numFmtId="0" fontId="9" fillId="0" borderId="6" xfId="3" applyFont="1" applyBorder="1" applyAlignment="1">
      <alignment horizontal="center" vertical="center"/>
    </xf>
    <xf numFmtId="0" fontId="21" fillId="0" borderId="6" xfId="3" applyBorder="1" applyAlignment="1">
      <alignment horizontal="center"/>
    </xf>
    <xf numFmtId="0" fontId="18" fillId="0" borderId="0" xfId="3" applyFont="1" applyAlignment="1">
      <alignment horizontal="left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6" fillId="0" borderId="0" xfId="3" applyFont="1"/>
    <xf numFmtId="166" fontId="5" fillId="0" borderId="6" xfId="0" applyNumberFormat="1" applyFont="1" applyBorder="1" applyAlignment="1">
      <alignment horizont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43" fontId="9" fillId="0" borderId="6" xfId="1" applyFont="1" applyFill="1" applyBorder="1" applyAlignment="1">
      <alignment horizontal="center"/>
    </xf>
    <xf numFmtId="166" fontId="9" fillId="0" borderId="6" xfId="0" applyNumberFormat="1" applyFont="1" applyBorder="1" applyAlignment="1">
      <alignment horizontal="center"/>
    </xf>
    <xf numFmtId="166" fontId="9" fillId="0" borderId="6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4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wrapText="1"/>
    </xf>
    <xf numFmtId="0" fontId="14" fillId="0" borderId="4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15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 wrapText="1"/>
    </xf>
    <xf numFmtId="0" fontId="12" fillId="0" borderId="10" xfId="3" applyFont="1" applyBorder="1" applyAlignment="1">
      <alignment horizontal="left" wrapText="1"/>
    </xf>
    <xf numFmtId="0" fontId="12" fillId="0" borderId="0" xfId="3" applyFont="1" applyAlignment="1">
      <alignment horizontal="left" wrapText="1"/>
    </xf>
    <xf numFmtId="0" fontId="14" fillId="0" borderId="4" xfId="3" applyFont="1" applyBorder="1" applyAlignment="1">
      <alignment horizontal="left" wrapText="1"/>
    </xf>
    <xf numFmtId="0" fontId="14" fillId="0" borderId="11" xfId="3" applyFont="1" applyBorder="1" applyAlignment="1">
      <alignment horizontal="left" wrapText="1"/>
    </xf>
    <xf numFmtId="0" fontId="14" fillId="0" borderId="5" xfId="3" applyFont="1" applyBorder="1" applyAlignment="1">
      <alignment horizontal="left" wrapText="1"/>
    </xf>
    <xf numFmtId="0" fontId="13" fillId="0" borderId="2" xfId="3" applyFont="1" applyBorder="1" applyAlignment="1">
      <alignment horizontal="left" vertical="center" wrapText="1"/>
    </xf>
    <xf numFmtId="0" fontId="13" fillId="0" borderId="7" xfId="3" applyFont="1" applyBorder="1" applyAlignment="1">
      <alignment horizontal="left" vertical="center" wrapText="1"/>
    </xf>
    <xf numFmtId="0" fontId="13" fillId="0" borderId="9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center" wrapText="1"/>
    </xf>
    <xf numFmtId="0" fontId="14" fillId="0" borderId="8" xfId="3" applyFont="1" applyBorder="1" applyAlignment="1">
      <alignment horizontal="center" wrapText="1"/>
    </xf>
    <xf numFmtId="0" fontId="16" fillId="0" borderId="6" xfId="0" applyFont="1" applyBorder="1" applyAlignment="1">
      <alignment horizontal="left"/>
    </xf>
    <xf numFmtId="0" fontId="16" fillId="0" borderId="4" xfId="0" applyFont="1" applyBorder="1" applyAlignment="1">
      <alignment horizontal="left" wrapText="1"/>
    </xf>
    <xf numFmtId="0" fontId="16" fillId="0" borderId="11" xfId="0" applyFont="1" applyBorder="1" applyAlignment="1">
      <alignment horizontal="left" wrapText="1"/>
    </xf>
    <xf numFmtId="0" fontId="16" fillId="0" borderId="5" xfId="0" applyFont="1" applyBorder="1" applyAlignment="1">
      <alignment horizontal="left" wrapText="1"/>
    </xf>
    <xf numFmtId="0" fontId="16" fillId="0" borderId="6" xfId="0" applyFont="1" applyBorder="1" applyAlignment="1">
      <alignment horizontal="left" wrapText="1"/>
    </xf>
  </cellXfs>
  <cellStyles count="4">
    <cellStyle name="Comma" xfId="1" builtinId="3"/>
    <cellStyle name="Comma 2" xfId="2"/>
    <cellStyle name="Normal" xfId="0" builtinId="0"/>
    <cellStyle name="Normal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r>
              <a:rPr lang="en-US"/>
              <a:t>Staff Feed Back Chart</a:t>
            </a:r>
          </a:p>
        </c:rich>
      </c:tx>
      <c:layout>
        <c:manualLayout>
          <c:xMode val="edge"/>
          <c:yMode val="edge"/>
          <c:x val="0.29549315938580806"/>
          <c:y val="0"/>
        </c:manualLayout>
      </c:layout>
    </c:title>
    <c:plotArea>
      <c:layout>
        <c:manualLayout>
          <c:layoutTarget val="inner"/>
          <c:xMode val="edge"/>
          <c:yMode val="edge"/>
          <c:x val="0.12803586205496101"/>
          <c:y val="0.14049052691942901"/>
          <c:w val="0.70874162973342714"/>
          <c:h val="0.49519398310505808"/>
        </c:manualLayout>
      </c:layout>
      <c:barChart>
        <c:barDir val="col"/>
        <c:grouping val="clustered"/>
        <c:ser>
          <c:idx val="0"/>
          <c:order val="0"/>
          <c:cat>
            <c:strRef>
              <c:f>CN!$A$81:$A$84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CN!$D$81:$D$84</c:f>
              <c:numCache>
                <c:formatCode>0.00_);[Red]\(0.00\)</c:formatCode>
                <c:ptCount val="4"/>
                <c:pt idx="0">
                  <c:v>4.4400000000000004</c:v>
                </c:pt>
                <c:pt idx="1">
                  <c:v>3.95</c:v>
                </c:pt>
                <c:pt idx="2">
                  <c:v>4.5599999999999996</c:v>
                </c:pt>
                <c:pt idx="3">
                  <c:v>4.4800000000000004</c:v>
                </c:pt>
              </c:numCache>
            </c:numRef>
          </c:val>
        </c:ser>
        <c:ser>
          <c:idx val="1"/>
          <c:order val="1"/>
          <c:cat>
            <c:strRef>
              <c:f>CN!$A$81:$A$84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CN!$E$81:$E$84</c:f>
              <c:numCache>
                <c:formatCode>0.00_);[Red]\(0.00\)</c:formatCode>
                <c:ptCount val="4"/>
                <c:pt idx="0">
                  <c:v>4.4400000000000004</c:v>
                </c:pt>
                <c:pt idx="1">
                  <c:v>4.58</c:v>
                </c:pt>
                <c:pt idx="2">
                  <c:v>4.41</c:v>
                </c:pt>
                <c:pt idx="3">
                  <c:v>4.53</c:v>
                </c:pt>
              </c:numCache>
            </c:numRef>
          </c:val>
        </c:ser>
        <c:ser>
          <c:idx val="2"/>
          <c:order val="2"/>
          <c:cat>
            <c:strRef>
              <c:f>CN!$A$81:$A$84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CN!$F$81:$F$84</c:f>
              <c:numCache>
                <c:formatCode>0.00_);[Red]\(0.00\)</c:formatCode>
                <c:ptCount val="4"/>
                <c:pt idx="0">
                  <c:v>4.49</c:v>
                </c:pt>
                <c:pt idx="1">
                  <c:v>4.59</c:v>
                </c:pt>
                <c:pt idx="2">
                  <c:v>4.29</c:v>
                </c:pt>
                <c:pt idx="3">
                  <c:v>4.3899999999999997</c:v>
                </c:pt>
              </c:numCache>
            </c:numRef>
          </c:val>
        </c:ser>
        <c:ser>
          <c:idx val="3"/>
          <c:order val="3"/>
          <c:cat>
            <c:strRef>
              <c:f>CN!$A$81:$A$84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CN!$G$81:$G$84</c:f>
              <c:numCache>
                <c:formatCode>0.00_);[Red]\(0.00\)</c:formatCode>
                <c:ptCount val="4"/>
                <c:pt idx="0">
                  <c:v>4.46</c:v>
                </c:pt>
                <c:pt idx="1">
                  <c:v>4.47</c:v>
                </c:pt>
                <c:pt idx="2">
                  <c:v>4.59</c:v>
                </c:pt>
                <c:pt idx="3">
                  <c:v>4.59</c:v>
                </c:pt>
              </c:numCache>
            </c:numRef>
          </c:val>
        </c:ser>
        <c:ser>
          <c:idx val="4"/>
          <c:order val="4"/>
          <c:cat>
            <c:strRef>
              <c:f>CN!$A$81:$A$84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CN!$H$81:$H$84</c:f>
              <c:numCache>
                <c:formatCode>0.00_);[Red]\(0.00\)</c:formatCode>
                <c:ptCount val="4"/>
                <c:pt idx="0">
                  <c:v>4.5</c:v>
                </c:pt>
                <c:pt idx="1">
                  <c:v>4.57</c:v>
                </c:pt>
                <c:pt idx="2">
                  <c:v>4.42</c:v>
                </c:pt>
                <c:pt idx="3">
                  <c:v>4.49</c:v>
                </c:pt>
              </c:numCache>
            </c:numRef>
          </c:val>
        </c:ser>
        <c:dLbls/>
        <c:axId val="148001152"/>
        <c:axId val="148003456"/>
      </c:barChart>
      <c:catAx>
        <c:axId val="148001152"/>
        <c:scaling>
          <c:orientation val="minMax"/>
        </c:scaling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Evaluation Criteria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148003456"/>
        <c:crosses val="autoZero"/>
        <c:auto val="1"/>
        <c:lblAlgn val="ctr"/>
        <c:lblOffset val="100"/>
      </c:catAx>
      <c:valAx>
        <c:axId val="148003456"/>
        <c:scaling>
          <c:orientation val="minMax"/>
        </c:scaling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Average Poins</a:t>
                </a:r>
              </a:p>
            </c:rich>
          </c:tx>
          <c:layout/>
        </c:title>
        <c:numFmt formatCode="0.00_);[Red]\(0.00\)" sourceLinked="1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14800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05788493072798"/>
          <c:y val="0.16111515472330701"/>
          <c:w val="0.111081801428593"/>
          <c:h val="0.47948344692207906"/>
        </c:manualLayout>
      </c:layout>
      <c:txPr>
        <a:bodyPr rot="0" spcFirstLastPara="0" vertOverflow="ellipsis" vert="horz" wrap="square" anchor="ctr" anchorCtr="1"/>
        <a:lstStyle/>
        <a:p>
          <a:pPr>
            <a:defRPr lang="en-US" sz="92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5baf495b-04a2-4492-80c0-0682a20d102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r>
              <a:rPr lang="en-US"/>
              <a:t>Staff Feed Back Chart</a:t>
            </a:r>
          </a:p>
        </c:rich>
      </c:tx>
      <c:layout>
        <c:manualLayout>
          <c:xMode val="edge"/>
          <c:yMode val="edge"/>
          <c:x val="0.29549315938580706"/>
          <c:y val="0"/>
        </c:manualLayout>
      </c:layout>
    </c:title>
    <c:plotArea>
      <c:layout>
        <c:manualLayout>
          <c:layoutTarget val="inner"/>
          <c:xMode val="edge"/>
          <c:yMode val="edge"/>
          <c:x val="0.12803586205496101"/>
          <c:y val="0.14049052691942901"/>
          <c:w val="0.70874162973342614"/>
          <c:h val="0.49519398310505708"/>
        </c:manualLayout>
      </c:layout>
      <c:barChart>
        <c:barDir val="col"/>
        <c:grouping val="clustered"/>
        <c:ser>
          <c:idx val="0"/>
          <c:order val="0"/>
          <c:cat>
            <c:strRef>
              <c:f>TOC!$A$82:$A$85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TOC!$D$82:$D$85</c:f>
              <c:numCache>
                <c:formatCode>0.00_);[Red]\(0.00\)</c:formatCode>
                <c:ptCount val="4"/>
                <c:pt idx="0">
                  <c:v>4.3103400000000001</c:v>
                </c:pt>
                <c:pt idx="1">
                  <c:v>4.0172400000000001</c:v>
                </c:pt>
                <c:pt idx="2">
                  <c:v>3.9482758620689702</c:v>
                </c:pt>
                <c:pt idx="3">
                  <c:v>3.7586206896551699</c:v>
                </c:pt>
              </c:numCache>
            </c:numRef>
          </c:val>
        </c:ser>
        <c:ser>
          <c:idx val="1"/>
          <c:order val="1"/>
          <c:cat>
            <c:strRef>
              <c:f>TOC!$A$82:$A$85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TOC!$E$82:$E$85</c:f>
              <c:numCache>
                <c:formatCode>0.00_);[Red]\(0.00\)</c:formatCode>
                <c:ptCount val="4"/>
                <c:pt idx="0">
                  <c:v>4.2413800000000004</c:v>
                </c:pt>
                <c:pt idx="1">
                  <c:v>4.0862100000000003</c:v>
                </c:pt>
                <c:pt idx="2">
                  <c:v>3.9655172413793101</c:v>
                </c:pt>
                <c:pt idx="3">
                  <c:v>4.0344827586206904</c:v>
                </c:pt>
              </c:numCache>
            </c:numRef>
          </c:val>
        </c:ser>
        <c:ser>
          <c:idx val="2"/>
          <c:order val="2"/>
          <c:cat>
            <c:strRef>
              <c:f>TOC!$A$82:$A$85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TOC!$F$82:$F$85</c:f>
              <c:numCache>
                <c:formatCode>0.00_);[Red]\(0.00\)</c:formatCode>
                <c:ptCount val="4"/>
                <c:pt idx="0">
                  <c:v>4.24</c:v>
                </c:pt>
                <c:pt idx="1">
                  <c:v>4.03</c:v>
                </c:pt>
                <c:pt idx="2">
                  <c:v>4.0344827586206904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cat>
            <c:strRef>
              <c:f>TOC!$A$82:$A$85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TOC!$G$82:$G$85</c:f>
              <c:numCache>
                <c:formatCode>0.00_);[Red]\(0.00\)</c:formatCode>
                <c:ptCount val="4"/>
                <c:pt idx="0">
                  <c:v>4.33</c:v>
                </c:pt>
                <c:pt idx="1">
                  <c:v>3.97</c:v>
                </c:pt>
                <c:pt idx="2">
                  <c:v>3.8965517241379302</c:v>
                </c:pt>
                <c:pt idx="3">
                  <c:v>3.9655172413793101</c:v>
                </c:pt>
              </c:numCache>
            </c:numRef>
          </c:val>
        </c:ser>
        <c:ser>
          <c:idx val="4"/>
          <c:order val="4"/>
          <c:cat>
            <c:strRef>
              <c:f>TOC!$A$82:$A$85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TOC!$H$82:$H$85</c:f>
              <c:numCache>
                <c:formatCode>0.00_);[Red]\(0.00\)</c:formatCode>
                <c:ptCount val="4"/>
                <c:pt idx="0">
                  <c:v>4.0999999999999996</c:v>
                </c:pt>
                <c:pt idx="1">
                  <c:v>3.93</c:v>
                </c:pt>
                <c:pt idx="2">
                  <c:v>3.81034482758621</c:v>
                </c:pt>
                <c:pt idx="3">
                  <c:v>4.6379310344827598</c:v>
                </c:pt>
              </c:numCache>
            </c:numRef>
          </c:val>
        </c:ser>
        <c:dLbls/>
        <c:axId val="92871680"/>
        <c:axId val="92877952"/>
      </c:barChart>
      <c:catAx>
        <c:axId val="92871680"/>
        <c:scaling>
          <c:orientation val="minMax"/>
        </c:scaling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Evaluation Criteria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92877952"/>
        <c:crosses val="autoZero"/>
        <c:auto val="1"/>
        <c:lblAlgn val="ctr"/>
        <c:lblOffset val="100"/>
      </c:catAx>
      <c:valAx>
        <c:axId val="92877952"/>
        <c:scaling>
          <c:orientation val="minMax"/>
        </c:scaling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Average Poins</a:t>
                </a:r>
              </a:p>
            </c:rich>
          </c:tx>
          <c:layout/>
        </c:title>
        <c:numFmt formatCode="0.00_);[Red]\(0.00\)" sourceLinked="1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928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05788493072798"/>
          <c:y val="0.16111515472330701"/>
          <c:w val="0.111081801428593"/>
          <c:h val="0.47948344692207906"/>
        </c:manualLayout>
      </c:layout>
      <c:txPr>
        <a:bodyPr rot="0" spcFirstLastPara="0" vertOverflow="ellipsis" vert="horz" wrap="square" anchor="ctr" anchorCtr="1"/>
        <a:lstStyle/>
        <a:p>
          <a:pPr>
            <a:defRPr lang="en-US" sz="92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b069e6ff-8445-4086-b378-2e4cd18ad980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SE!$A$79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SE!$B$79:$H$79</c:f>
              <c:numCache>
                <c:formatCode>General</c:formatCode>
                <c:ptCount val="7"/>
                <c:pt idx="2" formatCode="0.00_);[Red]\(0.00\)">
                  <c:v>4.5636363636363599</c:v>
                </c:pt>
                <c:pt idx="3" formatCode="0.00_);[Red]\(0.00\)">
                  <c:v>4.5090909090909097</c:v>
                </c:pt>
                <c:pt idx="4" formatCode="0.00_);[Red]\(0.00\)">
                  <c:v>4.5090909090909097</c:v>
                </c:pt>
                <c:pt idx="5" formatCode="0.00_);[Red]\(0.00\)">
                  <c:v>4.5636363636363599</c:v>
                </c:pt>
                <c:pt idx="6" formatCode="0.00_);[Red]\(0.00\)">
                  <c:v>4.5090909090909097</c:v>
                </c:pt>
              </c:numCache>
            </c:numRef>
          </c:val>
        </c:ser>
        <c:ser>
          <c:idx val="1"/>
          <c:order val="1"/>
          <c:tx>
            <c:strRef>
              <c:f>SE!$A$80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SE!$B$80:$H$80</c:f>
              <c:numCache>
                <c:formatCode>General</c:formatCode>
                <c:ptCount val="7"/>
                <c:pt idx="2" formatCode="0.00_);[Red]\(0.00\)">
                  <c:v>4.52727272727273</c:v>
                </c:pt>
                <c:pt idx="3" formatCode="0.00_);[Red]\(0.00\)">
                  <c:v>4.5090909090909097</c:v>
                </c:pt>
                <c:pt idx="4" formatCode="0.00_);[Red]\(0.00\)">
                  <c:v>4.4909090909090903</c:v>
                </c:pt>
                <c:pt idx="5" formatCode="0.00_);[Red]\(0.00\)">
                  <c:v>4.52727272727273</c:v>
                </c:pt>
                <c:pt idx="6" formatCode="0.00_);[Red]\(0.00\)">
                  <c:v>4.5636363636363599</c:v>
                </c:pt>
              </c:numCache>
            </c:numRef>
          </c:val>
        </c:ser>
        <c:ser>
          <c:idx val="2"/>
          <c:order val="2"/>
          <c:tx>
            <c:strRef>
              <c:f>SE!$A$81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SE!$B$81:$H$81</c:f>
              <c:numCache>
                <c:formatCode>General</c:formatCode>
                <c:ptCount val="7"/>
                <c:pt idx="2" formatCode="0.00_);[Red]\(0.00\)">
                  <c:v>4.4545454545454497</c:v>
                </c:pt>
                <c:pt idx="3" formatCode="0.00_);[Red]\(0.00\)">
                  <c:v>4.1636363636363596</c:v>
                </c:pt>
                <c:pt idx="4" formatCode="0.00_);[Red]\(0.00\)">
                  <c:v>4.1454545454545499</c:v>
                </c:pt>
                <c:pt idx="5" formatCode="0.00_);[Red]\(0.00\)">
                  <c:v>4.5636363636363599</c:v>
                </c:pt>
                <c:pt idx="6" formatCode="0.00_);[Red]\(0.00\)">
                  <c:v>4.5090909090909097</c:v>
                </c:pt>
              </c:numCache>
            </c:numRef>
          </c:val>
        </c:ser>
        <c:ser>
          <c:idx val="3"/>
          <c:order val="3"/>
          <c:tx>
            <c:strRef>
              <c:f>SE!$A$82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SE!$B$82:$H$82</c:f>
              <c:numCache>
                <c:formatCode>General</c:formatCode>
                <c:ptCount val="7"/>
                <c:pt idx="2" formatCode="0.00_);[Red]\(0.00\)">
                  <c:v>4.5636363636363599</c:v>
                </c:pt>
                <c:pt idx="3" formatCode="0.00_);[Red]\(0.00\)">
                  <c:v>4.5818181818181802</c:v>
                </c:pt>
                <c:pt idx="4" formatCode="0.00_);[Red]\(0.00\)">
                  <c:v>4.6181818181818199</c:v>
                </c:pt>
                <c:pt idx="5" formatCode="0.00_);[Red]\(0.00\)">
                  <c:v>4.5818181818181802</c:v>
                </c:pt>
                <c:pt idx="6" formatCode="0.00_);[Red]\(0.00\)">
                  <c:v>4.4545454545454497</c:v>
                </c:pt>
              </c:numCache>
            </c:numRef>
          </c:val>
        </c:ser>
        <c:dLbls/>
        <c:gapWidth val="246"/>
        <c:overlap val="-28"/>
        <c:axId val="93876608"/>
        <c:axId val="93878144"/>
      </c:barChart>
      <c:catAx>
        <c:axId val="93876608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8144"/>
        <c:crosses val="autoZero"/>
        <c:auto val="1"/>
        <c:lblAlgn val="ctr"/>
        <c:lblOffset val="100"/>
      </c:catAx>
      <c:valAx>
        <c:axId val="938781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7318d7db-5e12-4a80-9c40-7fb7f14bdd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r>
              <a:rPr lang="en-US"/>
              <a:t>Staff Feed Back Chart</a:t>
            </a:r>
          </a:p>
        </c:rich>
      </c:tx>
      <c:layout>
        <c:manualLayout>
          <c:xMode val="edge"/>
          <c:yMode val="edge"/>
          <c:x val="0.29549315938580806"/>
          <c:y val="0"/>
        </c:manualLayout>
      </c:layout>
    </c:title>
    <c:plotArea>
      <c:layout>
        <c:manualLayout>
          <c:layoutTarget val="inner"/>
          <c:xMode val="edge"/>
          <c:yMode val="edge"/>
          <c:x val="0.12803586205496101"/>
          <c:y val="0.14049052691942901"/>
          <c:w val="0.70874162973342714"/>
          <c:h val="0.49519398310505708"/>
        </c:manualLayout>
      </c:layout>
      <c:barChart>
        <c:barDir val="col"/>
        <c:grouping val="clustered"/>
        <c:ser>
          <c:idx val="0"/>
          <c:order val="0"/>
          <c:cat>
            <c:strRef>
              <c:f>OS!$A$81:$A$84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OS!$D$81:$D$84</c:f>
              <c:numCache>
                <c:formatCode>0.00_);[Red]\(0.00\)</c:formatCode>
                <c:ptCount val="4"/>
                <c:pt idx="0">
                  <c:v>4.1578947368421098</c:v>
                </c:pt>
                <c:pt idx="1">
                  <c:v>3.8421052631578898</c:v>
                </c:pt>
                <c:pt idx="2">
                  <c:v>3.9298245614035099</c:v>
                </c:pt>
                <c:pt idx="3">
                  <c:v>4.0877192982456103</c:v>
                </c:pt>
              </c:numCache>
            </c:numRef>
          </c:val>
        </c:ser>
        <c:ser>
          <c:idx val="1"/>
          <c:order val="1"/>
          <c:cat>
            <c:strRef>
              <c:f>OS!$A$81:$A$84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OS!$E$81:$E$84</c:f>
              <c:numCache>
                <c:formatCode>0.00_);[Red]\(0.00\)</c:formatCode>
                <c:ptCount val="4"/>
                <c:pt idx="0">
                  <c:v>4.2105263157894699</c:v>
                </c:pt>
                <c:pt idx="1">
                  <c:v>4</c:v>
                </c:pt>
                <c:pt idx="2">
                  <c:v>4</c:v>
                </c:pt>
                <c:pt idx="3">
                  <c:v>4.0701754385964897</c:v>
                </c:pt>
              </c:numCache>
            </c:numRef>
          </c:val>
        </c:ser>
        <c:ser>
          <c:idx val="2"/>
          <c:order val="2"/>
          <c:cat>
            <c:strRef>
              <c:f>OS!$A$81:$A$84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OS!$F$81:$F$84</c:f>
              <c:numCache>
                <c:formatCode>0.00_);[Red]\(0.00\)</c:formatCode>
                <c:ptCount val="4"/>
                <c:pt idx="0">
                  <c:v>4.1929824561403501</c:v>
                </c:pt>
                <c:pt idx="1">
                  <c:v>3.8596491228070202</c:v>
                </c:pt>
                <c:pt idx="2">
                  <c:v>4.1403508771929802</c:v>
                </c:pt>
                <c:pt idx="3">
                  <c:v>4.2456140350877201</c:v>
                </c:pt>
              </c:numCache>
            </c:numRef>
          </c:val>
        </c:ser>
        <c:ser>
          <c:idx val="3"/>
          <c:order val="3"/>
          <c:cat>
            <c:strRef>
              <c:f>OS!$A$81:$A$84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OS!$G$81:$G$84</c:f>
              <c:numCache>
                <c:formatCode>0.00_);[Red]\(0.00\)</c:formatCode>
                <c:ptCount val="4"/>
                <c:pt idx="0">
                  <c:v>3.9298245614035099</c:v>
                </c:pt>
                <c:pt idx="1">
                  <c:v>3.7894736842105301</c:v>
                </c:pt>
                <c:pt idx="2">
                  <c:v>4.0701754385964897</c:v>
                </c:pt>
                <c:pt idx="3">
                  <c:v>4.3333333333333304</c:v>
                </c:pt>
              </c:numCache>
            </c:numRef>
          </c:val>
        </c:ser>
        <c:ser>
          <c:idx val="4"/>
          <c:order val="4"/>
          <c:cat>
            <c:strRef>
              <c:f>OS!$A$81:$A$84</c:f>
              <c:strCache>
                <c:ptCount val="4"/>
                <c:pt idx="0">
                  <c:v>PLANNING AND ORGANISATION</c:v>
                </c:pt>
                <c:pt idx="1">
                  <c:v>PRESENTATION / COMMUNICATION</c:v>
                </c:pt>
                <c:pt idx="2">
                  <c:v>CLASS MANAGEMENT AND STUDENT’S INTERACTION</c:v>
                </c:pt>
                <c:pt idx="3">
                  <c:v>SUBJECT COVERAGE AND STUDENT EVALUATION</c:v>
                </c:pt>
              </c:strCache>
            </c:strRef>
          </c:cat>
          <c:val>
            <c:numRef>
              <c:f>OS!$H$81:$H$84</c:f>
              <c:numCache>
                <c:formatCode>0.00_);[Red]\(0.00\)</c:formatCode>
                <c:ptCount val="4"/>
                <c:pt idx="0">
                  <c:v>3.9122807017543901</c:v>
                </c:pt>
                <c:pt idx="1">
                  <c:v>3.7719298245614001</c:v>
                </c:pt>
                <c:pt idx="2">
                  <c:v>3.9473684210526301</c:v>
                </c:pt>
                <c:pt idx="3">
                  <c:v>4.47</c:v>
                </c:pt>
              </c:numCache>
            </c:numRef>
          </c:val>
        </c:ser>
        <c:dLbls/>
        <c:axId val="93726208"/>
        <c:axId val="93728128"/>
      </c:barChart>
      <c:catAx>
        <c:axId val="93726208"/>
        <c:scaling>
          <c:orientation val="minMax"/>
        </c:scaling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Evaluation Criteria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93728128"/>
        <c:crosses val="autoZero"/>
        <c:auto val="1"/>
        <c:lblAlgn val="ctr"/>
        <c:lblOffset val="100"/>
      </c:catAx>
      <c:valAx>
        <c:axId val="93728128"/>
        <c:scaling>
          <c:orientation val="minMax"/>
        </c:scaling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en-US"/>
                  <a:t>Average Poins</a:t>
                </a:r>
              </a:p>
            </c:rich>
          </c:tx>
          <c:layout/>
        </c:title>
        <c:numFmt formatCode="0.00_);[Red]\(0.00\)" sourceLinked="1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 panose="020F0502020204030204"/>
                <a:ea typeface="Calibri" panose="020F0502020204030204"/>
                <a:cs typeface="Calibri" panose="020F0502020204030204"/>
              </a:defRPr>
            </a:pPr>
            <a:endParaRPr lang="en-US"/>
          </a:p>
        </c:txPr>
        <c:crossAx val="9372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05788493072798"/>
          <c:y val="0.16111515472330701"/>
          <c:w val="0.111081801428593"/>
          <c:h val="0.47948344692207906"/>
        </c:manualLayout>
      </c:layout>
      <c:txPr>
        <a:bodyPr rot="0" spcFirstLastPara="0" vertOverflow="ellipsis" vert="horz" wrap="square" anchor="ctr" anchorCtr="1"/>
        <a:lstStyle/>
        <a:p>
          <a:pPr>
            <a:defRPr lang="en-US" sz="920" b="0" i="0" u="none" strike="noStrike" kern="1200" baseline="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34d7413c-665c-47f7-8d7f-7d97dcdfcb2d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 panose="020F0502020204030204"/>
          <a:ea typeface="Calibri" panose="020F0502020204030204"/>
          <a:cs typeface="Calibri" panose="020F0502020204030204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'OS lab'!$A$82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'OS lab'!$B$82:$H$82</c:f>
              <c:numCache>
                <c:formatCode>General</c:formatCode>
                <c:ptCount val="7"/>
                <c:pt idx="2" formatCode="0.00_);[Red]\(0.00\)">
                  <c:v>4.2758620689655196</c:v>
                </c:pt>
                <c:pt idx="3" formatCode="0.00_);[Red]\(0.00\)">
                  <c:v>4.4310344827586201</c:v>
                </c:pt>
                <c:pt idx="4" formatCode="0.00_);[Red]\(0.00\)">
                  <c:v>4.4137931034482802</c:v>
                </c:pt>
                <c:pt idx="5" formatCode="0.00_);[Red]\(0.00\)">
                  <c:v>4.4655172413793096</c:v>
                </c:pt>
                <c:pt idx="6" formatCode="0.00_);[Red]\(0.00\)">
                  <c:v>4.3965517241379297</c:v>
                </c:pt>
              </c:numCache>
            </c:numRef>
          </c:val>
        </c:ser>
        <c:ser>
          <c:idx val="1"/>
          <c:order val="1"/>
          <c:tx>
            <c:strRef>
              <c:f>'OS lab'!$A$83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'OS lab'!$B$83:$H$83</c:f>
              <c:numCache>
                <c:formatCode>General</c:formatCode>
                <c:ptCount val="7"/>
                <c:pt idx="2" formatCode="0.00_);[Red]\(0.00\)">
                  <c:v>4.5344827586206904</c:v>
                </c:pt>
                <c:pt idx="3" formatCode="0.00_);[Red]\(0.00\)">
                  <c:v>5.1724137931034502</c:v>
                </c:pt>
                <c:pt idx="4" formatCode="0.00_);[Red]\(0.00\)">
                  <c:v>4.3965517241379297</c:v>
                </c:pt>
                <c:pt idx="5" formatCode="0.00_);[Red]\(0.00\)">
                  <c:v>4.3965517241379297</c:v>
                </c:pt>
                <c:pt idx="6" formatCode="0.00_);[Red]\(0.00\)">
                  <c:v>4.4137931034482802</c:v>
                </c:pt>
              </c:numCache>
            </c:numRef>
          </c:val>
        </c:ser>
        <c:ser>
          <c:idx val="2"/>
          <c:order val="2"/>
          <c:tx>
            <c:strRef>
              <c:f>'OS lab'!$A$84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'OS lab'!$B$84:$H$84</c:f>
              <c:numCache>
                <c:formatCode>General</c:formatCode>
                <c:ptCount val="7"/>
                <c:pt idx="2" formatCode="0.00_);[Red]\(0.00\)">
                  <c:v>4.4137931034482802</c:v>
                </c:pt>
                <c:pt idx="3" formatCode="0.00_);[Red]\(0.00\)">
                  <c:v>4.3620689655172402</c:v>
                </c:pt>
                <c:pt idx="4" formatCode="0.00_);[Red]\(0.00\)">
                  <c:v>4.4482758620689697</c:v>
                </c:pt>
                <c:pt idx="5" formatCode="0.00_);[Red]\(0.00\)">
                  <c:v>4.3620689655172402</c:v>
                </c:pt>
                <c:pt idx="6" formatCode="0.00_);[Red]\(0.00\)">
                  <c:v>4.4310344827586201</c:v>
                </c:pt>
              </c:numCache>
            </c:numRef>
          </c:val>
        </c:ser>
        <c:ser>
          <c:idx val="3"/>
          <c:order val="3"/>
          <c:tx>
            <c:strRef>
              <c:f>'OS lab'!$A$85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'OS lab'!$B$85:$H$85</c:f>
              <c:numCache>
                <c:formatCode>General</c:formatCode>
                <c:ptCount val="7"/>
                <c:pt idx="2" formatCode="0.00_);[Red]\(0.00\)">
                  <c:v>4.5689655172413799</c:v>
                </c:pt>
                <c:pt idx="3" formatCode="0.00_);[Red]\(0.00\)">
                  <c:v>4.4482758620689697</c:v>
                </c:pt>
                <c:pt idx="4" formatCode="0.00_);[Red]\(0.00\)">
                  <c:v>4.7586206896551699</c:v>
                </c:pt>
                <c:pt idx="5" formatCode="0.00_);[Red]\(0.00\)">
                  <c:v>4.7241379310344804</c:v>
                </c:pt>
                <c:pt idx="6" formatCode="0.00_);[Red]\(0.00\)">
                  <c:v>4.68965517241379</c:v>
                </c:pt>
              </c:numCache>
            </c:numRef>
          </c:val>
        </c:ser>
        <c:dLbls/>
        <c:gapWidth val="246"/>
        <c:overlap val="-28"/>
        <c:axId val="94079616"/>
        <c:axId val="94085504"/>
      </c:barChart>
      <c:catAx>
        <c:axId val="94079616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5504"/>
        <c:crosses val="autoZero"/>
        <c:auto val="1"/>
        <c:lblAlgn val="ctr"/>
        <c:lblOffset val="100"/>
      </c:catAx>
      <c:valAx>
        <c:axId val="940855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99324871725605"/>
          <c:y val="0.59950171286203691"/>
          <c:w val="0.71104509856872822"/>
          <c:h val="0.36312675179071907"/>
        </c:manualLayout>
      </c:layout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a4015bb8-41eb-4523-b86b-487171491e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'DBS lab'!$A$82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'DBS lab'!$B$82:$H$82</c:f>
              <c:numCache>
                <c:formatCode>General</c:formatCode>
                <c:ptCount val="7"/>
                <c:pt idx="2" formatCode="0.00_);[Red]\(0.00\)">
                  <c:v>4.7627118644067803</c:v>
                </c:pt>
                <c:pt idx="3" formatCode="0.00_);[Red]\(0.00\)">
                  <c:v>4.7627118644067803</c:v>
                </c:pt>
                <c:pt idx="4" formatCode="0.00_);[Red]\(0.00\)">
                  <c:v>4.2203389830508504</c:v>
                </c:pt>
                <c:pt idx="5" formatCode="0.00_);[Red]\(0.00\)">
                  <c:v>4.13559322033898</c:v>
                </c:pt>
                <c:pt idx="6" formatCode="0.00_);[Red]\(0.00\)">
                  <c:v>4.2203389830508504</c:v>
                </c:pt>
              </c:numCache>
            </c:numRef>
          </c:val>
        </c:ser>
        <c:ser>
          <c:idx val="1"/>
          <c:order val="1"/>
          <c:tx>
            <c:strRef>
              <c:f>'DBS lab'!$A$83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'DBS lab'!$B$83:$H$83</c:f>
              <c:numCache>
                <c:formatCode>General</c:formatCode>
                <c:ptCount val="7"/>
                <c:pt idx="2" formatCode="0.00_);[Red]\(0.00\)">
                  <c:v>4.1864406779661003</c:v>
                </c:pt>
                <c:pt idx="3" formatCode="0.00_);[Red]\(0.00\)">
                  <c:v>4.2033898305084696</c:v>
                </c:pt>
                <c:pt idx="4" formatCode="0.00_);[Red]\(0.00\)">
                  <c:v>4.1694915254237301</c:v>
                </c:pt>
                <c:pt idx="5" formatCode="0.00_);[Red]\(0.00\)">
                  <c:v>4.1694915254237301</c:v>
                </c:pt>
                <c:pt idx="6" formatCode="0.00_);[Red]\(0.00\)">
                  <c:v>4.15254237288136</c:v>
                </c:pt>
              </c:numCache>
            </c:numRef>
          </c:val>
        </c:ser>
        <c:ser>
          <c:idx val="2"/>
          <c:order val="2"/>
          <c:tx>
            <c:strRef>
              <c:f>'DBS lab'!$A$84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'DBS lab'!$B$84:$H$84</c:f>
              <c:numCache>
                <c:formatCode>General</c:formatCode>
                <c:ptCount val="7"/>
                <c:pt idx="2" formatCode="0.00_);[Red]\(0.00\)">
                  <c:v>4.1864406779661003</c:v>
                </c:pt>
                <c:pt idx="3" formatCode="0.00_);[Red]\(0.00\)">
                  <c:v>4.1694915254237301</c:v>
                </c:pt>
                <c:pt idx="4" formatCode="0.00_);[Red]\(0.00\)">
                  <c:v>4.13559322033898</c:v>
                </c:pt>
                <c:pt idx="5" formatCode="0.00_);[Red]\(0.00\)">
                  <c:v>4.71186440677966</c:v>
                </c:pt>
                <c:pt idx="6" formatCode="0.00_);[Red]\(0.00\)">
                  <c:v>4.7627118644067803</c:v>
                </c:pt>
              </c:numCache>
            </c:numRef>
          </c:val>
        </c:ser>
        <c:ser>
          <c:idx val="3"/>
          <c:order val="3"/>
          <c:tx>
            <c:strRef>
              <c:f>'DBS lab'!$A$85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'DBS lab'!$B$85:$H$85</c:f>
              <c:numCache>
                <c:formatCode>General</c:formatCode>
                <c:ptCount val="7"/>
                <c:pt idx="2" formatCode="0.00_);[Red]\(0.00\)">
                  <c:v>4.7627118644067803</c:v>
                </c:pt>
                <c:pt idx="3" formatCode="0.00_);[Red]\(0.00\)">
                  <c:v>4.7288135593220302</c:v>
                </c:pt>
                <c:pt idx="4" formatCode="0.00_);[Red]\(0.00\)">
                  <c:v>4.7457627118644101</c:v>
                </c:pt>
                <c:pt idx="5" formatCode="0.00_);[Red]\(0.00\)">
                  <c:v>4.6779661016949197</c:v>
                </c:pt>
                <c:pt idx="6" formatCode="0.00_);[Red]\(0.00\)">
                  <c:v>4.7966101694915304</c:v>
                </c:pt>
              </c:numCache>
            </c:numRef>
          </c:val>
        </c:ser>
        <c:dLbls/>
        <c:gapWidth val="246"/>
        <c:overlap val="-28"/>
        <c:axId val="93916160"/>
        <c:axId val="93922048"/>
      </c:barChart>
      <c:catAx>
        <c:axId val="93916160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2048"/>
        <c:crosses val="autoZero"/>
        <c:auto val="1"/>
        <c:lblAlgn val="ctr"/>
        <c:lblOffset val="100"/>
      </c:catAx>
      <c:valAx>
        <c:axId val="93922048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18e6af17-2ddc-444c-b342-63a8e9c085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'CN  lab'!$A$81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'CN  lab'!$B$81:$I$81</c:f>
              <c:numCache>
                <c:formatCode>General</c:formatCode>
                <c:ptCount val="8"/>
                <c:pt idx="3" formatCode="0.00_);[Red]\(0.00\)">
                  <c:v>4.7719298245613997</c:v>
                </c:pt>
                <c:pt idx="4" formatCode="0.00_);[Red]\(0.00\)">
                  <c:v>4.4210526315789496</c:v>
                </c:pt>
                <c:pt idx="5" formatCode="0.00_);[Red]\(0.00\)">
                  <c:v>4.1403508771929802</c:v>
                </c:pt>
                <c:pt idx="6" formatCode="0.00_);[Red]\(0.00\)">
                  <c:v>4.54385964912281</c:v>
                </c:pt>
                <c:pt idx="7" formatCode="0.00_);[Red]\(0.00\)">
                  <c:v>4.5614035087719298</c:v>
                </c:pt>
              </c:numCache>
            </c:numRef>
          </c:val>
        </c:ser>
        <c:ser>
          <c:idx val="1"/>
          <c:order val="1"/>
          <c:tx>
            <c:strRef>
              <c:f>'CN  lab'!$A$82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'CN  lab'!$B$82:$I$82</c:f>
              <c:numCache>
                <c:formatCode>General</c:formatCode>
                <c:ptCount val="8"/>
                <c:pt idx="3" formatCode="0.00_);[Red]\(0.00\)">
                  <c:v>4.4210526315789496</c:v>
                </c:pt>
                <c:pt idx="4" formatCode="0.00_);[Red]\(0.00\)">
                  <c:v>4.4210526315789496</c:v>
                </c:pt>
                <c:pt idx="5" formatCode="0.00_);[Red]\(0.00\)">
                  <c:v>4.4736842105263204</c:v>
                </c:pt>
                <c:pt idx="6" formatCode="0.00_);[Red]\(0.00\)">
                  <c:v>4.2456140350877201</c:v>
                </c:pt>
                <c:pt idx="7" formatCode="0.00_);[Red]\(0.00\)">
                  <c:v>4.4385964912280702</c:v>
                </c:pt>
              </c:numCache>
            </c:numRef>
          </c:val>
        </c:ser>
        <c:ser>
          <c:idx val="2"/>
          <c:order val="2"/>
          <c:tx>
            <c:strRef>
              <c:f>'CN  lab'!$A$83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'CN  lab'!$B$83:$I$83</c:f>
              <c:numCache>
                <c:formatCode>General</c:formatCode>
                <c:ptCount val="8"/>
                <c:pt idx="3" formatCode="0.00_);[Red]\(0.00\)">
                  <c:v>4.0350877192982502</c:v>
                </c:pt>
                <c:pt idx="4" formatCode="0.00_);[Red]\(0.00\)">
                  <c:v>4.4385964912280702</c:v>
                </c:pt>
                <c:pt idx="5" formatCode="0.00_);[Red]\(0.00\)">
                  <c:v>4.5263157894736796</c:v>
                </c:pt>
                <c:pt idx="6" formatCode="0.00_);[Red]\(0.00\)">
                  <c:v>4.4210526315789496</c:v>
                </c:pt>
                <c:pt idx="7" formatCode="0.00_);[Red]\(0.00\)">
                  <c:v>4.5789473684210504</c:v>
                </c:pt>
              </c:numCache>
            </c:numRef>
          </c:val>
        </c:ser>
        <c:ser>
          <c:idx val="3"/>
          <c:order val="3"/>
          <c:tx>
            <c:strRef>
              <c:f>'CN  lab'!$A$84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'CN  lab'!$B$84:$I$84</c:f>
              <c:numCache>
                <c:formatCode>General</c:formatCode>
                <c:ptCount val="8"/>
                <c:pt idx="3" formatCode="0.00_);[Red]\(0.00\)">
                  <c:v>4.59649122807018</c:v>
                </c:pt>
                <c:pt idx="4" formatCode="0.00_);[Red]\(0.00\)">
                  <c:v>4.59649122807018</c:v>
                </c:pt>
                <c:pt idx="5" formatCode="0.00_);[Red]\(0.00\)">
                  <c:v>4.8421052631578902</c:v>
                </c:pt>
                <c:pt idx="6" formatCode="0.00_);[Red]\(0.00\)">
                  <c:v>4.8596491228070198</c:v>
                </c:pt>
                <c:pt idx="7" formatCode="0.00_);[Red]\(0.00\)">
                  <c:v>4.1929824561403501</c:v>
                </c:pt>
              </c:numCache>
            </c:numRef>
          </c:val>
        </c:ser>
        <c:dLbls/>
        <c:gapWidth val="246"/>
        <c:overlap val="-28"/>
        <c:axId val="94129536"/>
        <c:axId val="94135424"/>
      </c:barChart>
      <c:catAx>
        <c:axId val="94129536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5424"/>
        <c:crosses val="autoZero"/>
        <c:auto val="1"/>
        <c:lblAlgn val="ctr"/>
        <c:lblOffset val="100"/>
      </c:catAx>
      <c:valAx>
        <c:axId val="941354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933527e4-3147-4133-af9f-88c91d5972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layout>
        <c:manualLayout>
          <c:xMode val="edge"/>
          <c:yMode val="edge"/>
          <c:x val="0.41313197636244309"/>
          <c:y val="2.8447575182877306E-2"/>
        </c:manualLayout>
      </c:layout>
      <c:spPr>
        <a:noFill/>
        <a:ln>
          <a:noFill/>
        </a:ln>
        <a:effectLst/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DBMS!$A$82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DBMS!$B$82:$I$82</c:f>
              <c:numCache>
                <c:formatCode>General</c:formatCode>
                <c:ptCount val="8"/>
                <c:pt idx="3" formatCode="_ * #,##0.00_ ;_ * \-#,##0.00_ ;_ * &quot;-&quot;??_ ;_ @_ ">
                  <c:v>4.8275862068965498</c:v>
                </c:pt>
                <c:pt idx="4" formatCode="_ * #,##0.00_ ;_ * \-#,##0.00_ ;_ * &quot;-&quot;??_ ;_ @_ ">
                  <c:v>4.7931034482758603</c:v>
                </c:pt>
                <c:pt idx="5" formatCode="_ * #,##0.00_ ;_ * \-#,##0.00_ ;_ * &quot;-&quot;??_ ;_ @_ ">
                  <c:v>4.6551724137930997</c:v>
                </c:pt>
                <c:pt idx="6" formatCode="_ * #,##0.00_ ;_ * \-#,##0.00_ ;_ * &quot;-&quot;??_ ;_ @_ ">
                  <c:v>4.6206896551724101</c:v>
                </c:pt>
                <c:pt idx="7" formatCode="_ * #,##0.00_ ;_ * \-#,##0.00_ ;_ * &quot;-&quot;??_ ;_ @_ ">
                  <c:v>4.4655172413793096</c:v>
                </c:pt>
              </c:numCache>
            </c:numRef>
          </c:val>
        </c:ser>
        <c:ser>
          <c:idx val="1"/>
          <c:order val="1"/>
          <c:tx>
            <c:strRef>
              <c:f>DBMS!$A$83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DBMS!$B$83:$I$83</c:f>
              <c:numCache>
                <c:formatCode>General</c:formatCode>
                <c:ptCount val="8"/>
                <c:pt idx="3" formatCode="_ * #,##0.00_ ;_ * \-#,##0.00_ ;_ * &quot;-&quot;??_ ;_ @_ ">
                  <c:v>4.7241379310344804</c:v>
                </c:pt>
                <c:pt idx="4" formatCode="_ * #,##0.00_ ;_ * \-#,##0.00_ ;_ * &quot;-&quot;??_ ;_ @_ ">
                  <c:v>4.5862068965517198</c:v>
                </c:pt>
                <c:pt idx="5" formatCode="_ * #,##0.00_ ;_ * \-#,##0.00_ ;_ * &quot;-&quot;??_ ;_ @_ ">
                  <c:v>4.5517241379310303</c:v>
                </c:pt>
                <c:pt idx="6" formatCode="_ * #,##0.00_ ;_ * \-#,##0.00_ ;_ * &quot;-&quot;??_ ;_ @_ ">
                  <c:v>4.5344827586206904</c:v>
                </c:pt>
                <c:pt idx="7" formatCode="_ * #,##0.00_ ;_ * \-#,##0.00_ ;_ * &quot;-&quot;??_ ;_ @_ ">
                  <c:v>4.5172413793103496</c:v>
                </c:pt>
              </c:numCache>
            </c:numRef>
          </c:val>
        </c:ser>
        <c:ser>
          <c:idx val="2"/>
          <c:order val="2"/>
          <c:tx>
            <c:strRef>
              <c:f>DBMS!$A$84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DBMS!$B$84:$I$84</c:f>
              <c:numCache>
                <c:formatCode>General</c:formatCode>
                <c:ptCount val="8"/>
                <c:pt idx="3" formatCode="_ * #,##0.00_ ;_ * \-#,##0.00_ ;_ * &quot;-&quot;??_ ;_ @_ ">
                  <c:v>4.4137931034482802</c:v>
                </c:pt>
                <c:pt idx="4" formatCode="_ * #,##0.00_ ;_ * \-#,##0.00_ ;_ * &quot;-&quot;??_ ;_ @_ ">
                  <c:v>4.5344827586206904</c:v>
                </c:pt>
                <c:pt idx="5" formatCode="_ * #,##0.00_ ;_ * \-#,##0.00_ ;_ * &quot;-&quot;??_ ;_ @_ ">
                  <c:v>4.4482758620689697</c:v>
                </c:pt>
                <c:pt idx="6" formatCode="_ * #,##0.00_ ;_ * \-#,##0.00_ ;_ * &quot;-&quot;??_ ;_ @_ ">
                  <c:v>4.4137931034482802</c:v>
                </c:pt>
                <c:pt idx="7" formatCode="_ * #,##0.00_ ;_ * \-#,##0.00_ ;_ * &quot;-&quot;??_ ;_ @_ ">
                  <c:v>4.3965517241379297</c:v>
                </c:pt>
              </c:numCache>
            </c:numRef>
          </c:val>
        </c:ser>
        <c:ser>
          <c:idx val="3"/>
          <c:order val="3"/>
          <c:tx>
            <c:strRef>
              <c:f>DBMS!$A$85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DBMS!$B$85:$I$85</c:f>
              <c:numCache>
                <c:formatCode>General</c:formatCode>
                <c:ptCount val="8"/>
                <c:pt idx="3" formatCode="_ * #,##0.00_ ;_ * \-#,##0.00_ ;_ * &quot;-&quot;??_ ;_ @_ ">
                  <c:v>4.3620689655172402</c:v>
                </c:pt>
                <c:pt idx="4" formatCode="_ * #,##0.00_ ;_ * \-#,##0.00_ ;_ * &quot;-&quot;??_ ;_ @_ ">
                  <c:v>4.6034482758620703</c:v>
                </c:pt>
                <c:pt idx="5" formatCode="_ * #,##0.00_ ;_ * \-#,##0.00_ ;_ * &quot;-&quot;??_ ;_ @_ ">
                  <c:v>4.6724137931034502</c:v>
                </c:pt>
                <c:pt idx="6" formatCode="_ * #,##0.00_ ;_ * \-#,##0.00_ ;_ * &quot;-&quot;??_ ;_ @_ ">
                  <c:v>4.9137931034482802</c:v>
                </c:pt>
                <c:pt idx="7" formatCode="_ * #,##0.00_ ;_ * \-#,##0.00_ ;_ * &quot;-&quot;??_ ;_ @_ ">
                  <c:v>4.9137931034482802</c:v>
                </c:pt>
              </c:numCache>
            </c:numRef>
          </c:val>
        </c:ser>
        <c:dLbls/>
        <c:gapWidth val="246"/>
        <c:overlap val="-28"/>
        <c:axId val="94253056"/>
        <c:axId val="94254592"/>
      </c:barChart>
      <c:catAx>
        <c:axId val="94253056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4592"/>
        <c:crosses val="autoZero"/>
        <c:auto val="1"/>
        <c:lblAlgn val="ctr"/>
        <c:lblOffset val="100"/>
      </c:catAx>
      <c:valAx>
        <c:axId val="942545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745753c7-4790-4b87-9df7-6be34236ba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Staff Feed Back Chart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7.205263157894741E-2"/>
          <c:y val="0.17361111111111102"/>
          <c:w val="0.9062368421052629"/>
          <c:h val="0.41328703703703701"/>
        </c:manualLayout>
      </c:layout>
      <c:barChart>
        <c:barDir val="col"/>
        <c:grouping val="clustered"/>
        <c:ser>
          <c:idx val="0"/>
          <c:order val="0"/>
          <c:tx>
            <c:strRef>
              <c:f>COI!$A$83</c:f>
              <c:strCache>
                <c:ptCount val="1"/>
                <c:pt idx="0">
                  <c:v>PLANNING AND ORGANISATION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COI!$B$83:$J$83</c:f>
              <c:numCache>
                <c:formatCode>General</c:formatCode>
                <c:ptCount val="9"/>
                <c:pt idx="4" formatCode="0.00_);[Red]\(0.00\)">
                  <c:v>4.70175438596491</c:v>
                </c:pt>
                <c:pt idx="5" formatCode="0.00_);[Red]\(0.00\)">
                  <c:v>4.7543859649122799</c:v>
                </c:pt>
                <c:pt idx="6" formatCode="0.00_);[Red]\(0.00\)">
                  <c:v>4.6140350877192997</c:v>
                </c:pt>
                <c:pt idx="7" formatCode="0.00_);[Red]\(0.00\)">
                  <c:v>4.45614035087719</c:v>
                </c:pt>
                <c:pt idx="8" formatCode="0.00_);[Red]\(0.00\)">
                  <c:v>4.5263157894736796</c:v>
                </c:pt>
              </c:numCache>
            </c:numRef>
          </c:val>
        </c:ser>
        <c:ser>
          <c:idx val="1"/>
          <c:order val="1"/>
          <c:tx>
            <c:strRef>
              <c:f>COI!$A$84</c:f>
              <c:strCache>
                <c:ptCount val="1"/>
                <c:pt idx="0">
                  <c:v>PRESENTATION /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COI!$B$84:$J$84</c:f>
              <c:numCache>
                <c:formatCode>General</c:formatCode>
                <c:ptCount val="9"/>
                <c:pt idx="4" formatCode="0.00_);[Red]\(0.00\)">
                  <c:v>4.5789473684210504</c:v>
                </c:pt>
                <c:pt idx="5" formatCode="0.00_);[Red]\(0.00\)">
                  <c:v>4.59649122807018</c:v>
                </c:pt>
                <c:pt idx="6" formatCode="0.00_);[Red]\(0.00\)">
                  <c:v>4.7192982456140404</c:v>
                </c:pt>
                <c:pt idx="7" formatCode="0.00_);[Red]\(0.00\)">
                  <c:v>4.70175438596491</c:v>
                </c:pt>
                <c:pt idx="8" formatCode="0.00_);[Red]\(0.00\)">
                  <c:v>4.59649122807018</c:v>
                </c:pt>
              </c:numCache>
            </c:numRef>
          </c:val>
        </c:ser>
        <c:ser>
          <c:idx val="2"/>
          <c:order val="2"/>
          <c:tx>
            <c:strRef>
              <c:f>COI!$A$85</c:f>
              <c:strCache>
                <c:ptCount val="1"/>
                <c:pt idx="0">
                  <c:v>CLASS MANAGEMENT AND STUDENT’S INTERACTION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COI!$B$85:$J$85</c:f>
              <c:numCache>
                <c:formatCode>General</c:formatCode>
                <c:ptCount val="9"/>
                <c:pt idx="4" formatCode="0.00_);[Red]\(0.00\)">
                  <c:v>4.59649122807018</c:v>
                </c:pt>
                <c:pt idx="5" formatCode="0.00_);[Red]\(0.00\)">
                  <c:v>4.5263157894736796</c:v>
                </c:pt>
                <c:pt idx="6" formatCode="0.00_);[Red]\(0.00\)">
                  <c:v>4.5087719298245599</c:v>
                </c:pt>
                <c:pt idx="7" formatCode="0.00_);[Red]\(0.00\)">
                  <c:v>4.4912280701754401</c:v>
                </c:pt>
                <c:pt idx="8" formatCode="0.00_);[Red]\(0.00\)">
                  <c:v>4.5614035087719298</c:v>
                </c:pt>
              </c:numCache>
            </c:numRef>
          </c:val>
        </c:ser>
        <c:ser>
          <c:idx val="3"/>
          <c:order val="3"/>
          <c:tx>
            <c:strRef>
              <c:f>COI!$A$86</c:f>
              <c:strCache>
                <c:ptCount val="1"/>
                <c:pt idx="0">
                  <c:v>SUBJECT COVERAGE AND STUDENT EVALUATION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COI!$B$86:$J$86</c:f>
              <c:numCache>
                <c:formatCode>General</c:formatCode>
                <c:ptCount val="9"/>
                <c:pt idx="4" formatCode="0.00_);[Red]\(0.00\)">
                  <c:v>4.45614035087719</c:v>
                </c:pt>
                <c:pt idx="5" formatCode="0.00_);[Red]\(0.00\)">
                  <c:v>4.7894736842105301</c:v>
                </c:pt>
                <c:pt idx="6" formatCode="0.00_);[Red]\(0.00\)">
                  <c:v>4.8070175438596499</c:v>
                </c:pt>
                <c:pt idx="7" formatCode="0.00_);[Red]\(0.00\)">
                  <c:v>4.7192982456140404</c:v>
                </c:pt>
                <c:pt idx="8" formatCode="0.00_);[Red]\(0.00\)">
                  <c:v>4.6158818097876297</c:v>
                </c:pt>
              </c:numCache>
            </c:numRef>
          </c:val>
        </c:ser>
        <c:dLbls/>
        <c:gapWidth val="246"/>
        <c:overlap val="-28"/>
        <c:axId val="94376320"/>
        <c:axId val="94377856"/>
      </c:barChart>
      <c:catAx>
        <c:axId val="94376320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7856"/>
        <c:crosses val="autoZero"/>
        <c:auto val="1"/>
        <c:lblAlgn val="ctr"/>
        <c:lblOffset val="100"/>
      </c:catAx>
      <c:valAx>
        <c:axId val="943778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f95ad863-808e-49e1-8c72-df3d8ac8ac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323852</xdr:colOff>
      <xdr:row>79</xdr:row>
      <xdr:rowOff>9525</xdr:rowOff>
    </xdr:from>
    <xdr:to>
      <xdr:col>20</xdr:col>
      <xdr:colOff>142876</xdr:colOff>
      <xdr:row>87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16</xdr:col>
      <xdr:colOff>228600</xdr:colOff>
      <xdr:row>4</xdr:row>
      <xdr:rowOff>19050</xdr:rowOff>
    </xdr:to>
    <xdr:pic>
      <xdr:nvPicPr>
        <xdr:cNvPr id="4" name="Picture 3" descr="C:\Users\AIML\Downloads\WhatsApp Image 2025-06-17 at 1.14.51 PM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286000" y="190500"/>
          <a:ext cx="7086600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323852</xdr:colOff>
      <xdr:row>80</xdr:row>
      <xdr:rowOff>9525</xdr:rowOff>
    </xdr:from>
    <xdr:to>
      <xdr:col>20</xdr:col>
      <xdr:colOff>142876</xdr:colOff>
      <xdr:row>88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542925</xdr:colOff>
      <xdr:row>0</xdr:row>
      <xdr:rowOff>19050</xdr:rowOff>
    </xdr:from>
    <xdr:to>
      <xdr:col>16</xdr:col>
      <xdr:colOff>504825</xdr:colOff>
      <xdr:row>3</xdr:row>
      <xdr:rowOff>180975</xdr:rowOff>
    </xdr:to>
    <xdr:pic>
      <xdr:nvPicPr>
        <xdr:cNvPr id="4" name="Picture 3" descr="C:\Users\AIML\Downloads\WhatsApp Image 2025-06-17 at 1.14.51 PM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257425" y="19050"/>
          <a:ext cx="7391400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390524</xdr:colOff>
      <xdr:row>0</xdr:row>
      <xdr:rowOff>0</xdr:rowOff>
    </xdr:from>
    <xdr:to>
      <xdr:col>16</xdr:col>
      <xdr:colOff>209549</xdr:colOff>
      <xdr:row>3</xdr:row>
      <xdr:rowOff>161925</xdr:rowOff>
    </xdr:to>
    <xdr:pic>
      <xdr:nvPicPr>
        <xdr:cNvPr id="6" name="Picture 5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190115" y="0"/>
          <a:ext cx="7629525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273050</xdr:colOff>
      <xdr:row>76</xdr:row>
      <xdr:rowOff>32385</xdr:rowOff>
    </xdr:from>
    <xdr:to>
      <xdr:col>20</xdr:col>
      <xdr:colOff>47625</xdr:colOff>
      <xdr:row>87</xdr:row>
      <xdr:rowOff>73025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323852</xdr:colOff>
      <xdr:row>79</xdr:row>
      <xdr:rowOff>9525</xdr:rowOff>
    </xdr:from>
    <xdr:to>
      <xdr:col>20</xdr:col>
      <xdr:colOff>142876</xdr:colOff>
      <xdr:row>87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342900</xdr:colOff>
      <xdr:row>0</xdr:row>
      <xdr:rowOff>0</xdr:rowOff>
    </xdr:from>
    <xdr:to>
      <xdr:col>17</xdr:col>
      <xdr:colOff>0</xdr:colOff>
      <xdr:row>3</xdr:row>
      <xdr:rowOff>161925</xdr:rowOff>
    </xdr:to>
    <xdr:pic>
      <xdr:nvPicPr>
        <xdr:cNvPr id="4" name="Picture 3" descr="C:\Users\AIML\Downloads\WhatsApp Image 2025-06-17 at 1.14.51 PM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628900" y="0"/>
          <a:ext cx="7086600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363682</xdr:colOff>
      <xdr:row>0</xdr:row>
      <xdr:rowOff>0</xdr:rowOff>
    </xdr:from>
    <xdr:to>
      <xdr:col>17</xdr:col>
      <xdr:colOff>497032</xdr:colOff>
      <xdr:row>3</xdr:row>
      <xdr:rowOff>161925</xdr:rowOff>
    </xdr:to>
    <xdr:pic>
      <xdr:nvPicPr>
        <xdr:cNvPr id="7" name="Picture 6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649220" y="0"/>
          <a:ext cx="7562850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510540</xdr:colOff>
      <xdr:row>80</xdr:row>
      <xdr:rowOff>85090</xdr:rowOff>
    </xdr:from>
    <xdr:to>
      <xdr:col>20</xdr:col>
      <xdr:colOff>307340</xdr:colOff>
      <xdr:row>90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0</xdr:rowOff>
    </xdr:from>
    <xdr:to>
      <xdr:col>17</xdr:col>
      <xdr:colOff>95250</xdr:colOff>
      <xdr:row>3</xdr:row>
      <xdr:rowOff>161925</xdr:rowOff>
    </xdr:to>
    <xdr:pic>
      <xdr:nvPicPr>
        <xdr:cNvPr id="4" name="Picture 3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038350" y="0"/>
          <a:ext cx="7772400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171449</xdr:colOff>
      <xdr:row>78</xdr:row>
      <xdr:rowOff>196850</xdr:rowOff>
    </xdr:from>
    <xdr:to>
      <xdr:col>20</xdr:col>
      <xdr:colOff>451484</xdr:colOff>
      <xdr:row>87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470646</xdr:colOff>
      <xdr:row>0</xdr:row>
      <xdr:rowOff>0</xdr:rowOff>
    </xdr:from>
    <xdr:to>
      <xdr:col>17</xdr:col>
      <xdr:colOff>73510</xdr:colOff>
      <xdr:row>3</xdr:row>
      <xdr:rowOff>161925</xdr:rowOff>
    </xdr:to>
    <xdr:pic>
      <xdr:nvPicPr>
        <xdr:cNvPr id="4" name="Picture 3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2205990" y="0"/>
          <a:ext cx="8064500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264160</xdr:colOff>
      <xdr:row>80</xdr:row>
      <xdr:rowOff>1270</xdr:rowOff>
    </xdr:from>
    <xdr:to>
      <xdr:col>21</xdr:col>
      <xdr:colOff>221615</xdr:colOff>
      <xdr:row>94</xdr:row>
      <xdr:rowOff>79375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390524</xdr:colOff>
      <xdr:row>0</xdr:row>
      <xdr:rowOff>0</xdr:rowOff>
    </xdr:from>
    <xdr:to>
      <xdr:col>18</xdr:col>
      <xdr:colOff>114299</xdr:colOff>
      <xdr:row>3</xdr:row>
      <xdr:rowOff>161925</xdr:rowOff>
    </xdr:to>
    <xdr:pic>
      <xdr:nvPicPr>
        <xdr:cNvPr id="3" name="Picture 2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1783080" y="0"/>
          <a:ext cx="7629525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215900</xdr:colOff>
      <xdr:row>78</xdr:row>
      <xdr:rowOff>161925</xdr:rowOff>
    </xdr:from>
    <xdr:to>
      <xdr:col>21</xdr:col>
      <xdr:colOff>411480</xdr:colOff>
      <xdr:row>89</xdr:row>
      <xdr:rowOff>57785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470646</xdr:colOff>
      <xdr:row>0</xdr:row>
      <xdr:rowOff>0</xdr:rowOff>
    </xdr:from>
    <xdr:to>
      <xdr:col>20</xdr:col>
      <xdr:colOff>282575</xdr:colOff>
      <xdr:row>3</xdr:row>
      <xdr:rowOff>161925</xdr:rowOff>
    </xdr:to>
    <xdr:pic>
      <xdr:nvPicPr>
        <xdr:cNvPr id="2" name="Picture 1" descr="C:\Users\AIML\Downloads\WhatsApp Image 2025-06-17 at 1.14.51 PM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1743075" y="0"/>
          <a:ext cx="8064500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82550</xdr:colOff>
      <xdr:row>79</xdr:row>
      <xdr:rowOff>82550</xdr:rowOff>
    </xdr:from>
    <xdr:to>
      <xdr:col>21</xdr:col>
      <xdr:colOff>517525</xdr:colOff>
      <xdr:row>93</xdr:row>
      <xdr:rowOff>149225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V93"/>
  <sheetViews>
    <sheetView topLeftCell="A61" zoomScale="85" zoomScaleNormal="85" workbookViewId="0">
      <selection activeCell="W84" sqref="W84"/>
    </sheetView>
  </sheetViews>
  <sheetFormatPr defaultColWidth="9" defaultRowHeight="15"/>
  <cols>
    <col min="1" max="22" width="8.5703125" customWidth="1"/>
    <col min="23" max="23" width="7.28515625" customWidth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4</v>
      </c>
      <c r="R7" s="5"/>
      <c r="S7" s="5"/>
      <c r="T7" s="5"/>
      <c r="U7" s="6"/>
      <c r="V7" s="3"/>
    </row>
    <row r="8" spans="1:22" ht="15.75" customHeight="1">
      <c r="A8" s="7" t="s">
        <v>5</v>
      </c>
      <c r="B8" s="8">
        <v>1.1000000000000001</v>
      </c>
      <c r="C8" s="8">
        <v>1.2</v>
      </c>
      <c r="D8" s="8">
        <v>1.3</v>
      </c>
      <c r="E8" s="8">
        <v>1.4</v>
      </c>
      <c r="F8" s="8">
        <v>1.5</v>
      </c>
      <c r="G8" s="8">
        <v>2.1</v>
      </c>
      <c r="H8" s="8">
        <v>2.2000000000000002</v>
      </c>
      <c r="I8" s="8">
        <v>2.2999999999999998</v>
      </c>
      <c r="J8" s="8">
        <v>2.4</v>
      </c>
      <c r="K8" s="8">
        <v>2.5</v>
      </c>
      <c r="L8" s="8">
        <v>3.1</v>
      </c>
      <c r="M8" s="8">
        <v>3.2</v>
      </c>
      <c r="N8" s="8">
        <v>3.3</v>
      </c>
      <c r="O8" s="8">
        <v>3.4</v>
      </c>
      <c r="P8" s="8">
        <v>3.5</v>
      </c>
      <c r="Q8" s="8">
        <v>4.0999999999999996</v>
      </c>
      <c r="R8" s="8">
        <v>4.2</v>
      </c>
      <c r="S8" s="8">
        <v>4.3</v>
      </c>
      <c r="T8" s="8">
        <v>4.4000000000000004</v>
      </c>
      <c r="U8" s="8">
        <v>4.5</v>
      </c>
      <c r="V8" s="9" t="s">
        <v>6</v>
      </c>
    </row>
    <row r="9" spans="1:22" ht="15.75" customHeight="1">
      <c r="A9" s="12">
        <v>1</v>
      </c>
      <c r="B9" s="81">
        <v>5</v>
      </c>
      <c r="C9" s="81">
        <v>5</v>
      </c>
      <c r="D9" s="81">
        <v>5</v>
      </c>
      <c r="E9" s="81">
        <v>5</v>
      </c>
      <c r="F9" s="81">
        <v>5</v>
      </c>
      <c r="G9" s="81">
        <v>4</v>
      </c>
      <c r="H9" s="81">
        <v>5</v>
      </c>
      <c r="I9" s="81">
        <v>5</v>
      </c>
      <c r="J9" s="81">
        <v>4</v>
      </c>
      <c r="K9" s="81">
        <v>5</v>
      </c>
      <c r="L9" s="81">
        <v>5</v>
      </c>
      <c r="M9" s="81">
        <v>5</v>
      </c>
      <c r="N9" s="81">
        <v>5</v>
      </c>
      <c r="O9" s="81">
        <v>5</v>
      </c>
      <c r="P9" s="81">
        <v>5</v>
      </c>
      <c r="Q9" s="81">
        <v>5</v>
      </c>
      <c r="R9" s="81">
        <v>5</v>
      </c>
      <c r="S9" s="81">
        <v>5</v>
      </c>
      <c r="T9" s="81">
        <v>5</v>
      </c>
      <c r="U9" s="81">
        <v>5</v>
      </c>
      <c r="V9" s="11">
        <f t="shared" ref="V9:V67" si="0">SUM(B9:U9)</f>
        <v>98</v>
      </c>
    </row>
    <row r="10" spans="1:22" ht="15.75" customHeight="1">
      <c r="A10" s="12">
        <v>2</v>
      </c>
      <c r="B10" s="81">
        <v>5</v>
      </c>
      <c r="C10" s="81">
        <v>5</v>
      </c>
      <c r="D10" s="81">
        <v>5</v>
      </c>
      <c r="E10" s="81">
        <v>5</v>
      </c>
      <c r="F10" s="81">
        <v>5</v>
      </c>
      <c r="G10" s="81">
        <v>4</v>
      </c>
      <c r="H10" s="81">
        <v>5</v>
      </c>
      <c r="I10" s="81">
        <v>5</v>
      </c>
      <c r="J10" s="81">
        <v>5</v>
      </c>
      <c r="K10" s="81">
        <v>5</v>
      </c>
      <c r="L10" s="81">
        <v>5</v>
      </c>
      <c r="M10" s="81">
        <v>5</v>
      </c>
      <c r="N10" s="81">
        <v>5</v>
      </c>
      <c r="O10" s="81">
        <v>5</v>
      </c>
      <c r="P10" s="81">
        <v>5</v>
      </c>
      <c r="Q10" s="81">
        <v>5</v>
      </c>
      <c r="R10" s="81">
        <v>5</v>
      </c>
      <c r="S10" s="81">
        <v>5</v>
      </c>
      <c r="T10" s="81">
        <v>5</v>
      </c>
      <c r="U10" s="81">
        <v>5</v>
      </c>
      <c r="V10" s="11">
        <f t="shared" si="0"/>
        <v>99</v>
      </c>
    </row>
    <row r="11" spans="1:22" ht="15.75" customHeight="1">
      <c r="A11" s="12">
        <v>3</v>
      </c>
      <c r="B11" s="81">
        <v>5</v>
      </c>
      <c r="C11" s="81">
        <v>5</v>
      </c>
      <c r="D11" s="81">
        <v>5</v>
      </c>
      <c r="E11" s="81">
        <v>5</v>
      </c>
      <c r="F11" s="81">
        <v>5</v>
      </c>
      <c r="G11" s="81">
        <v>4</v>
      </c>
      <c r="H11" s="81">
        <v>5</v>
      </c>
      <c r="I11" s="81">
        <v>5</v>
      </c>
      <c r="J11" s="81">
        <v>5</v>
      </c>
      <c r="K11" s="81">
        <v>5</v>
      </c>
      <c r="L11" s="81">
        <v>5</v>
      </c>
      <c r="M11" s="81">
        <v>5</v>
      </c>
      <c r="N11" s="81">
        <v>5</v>
      </c>
      <c r="O11" s="81">
        <v>5</v>
      </c>
      <c r="P11" s="81">
        <v>5</v>
      </c>
      <c r="Q11" s="81">
        <v>5</v>
      </c>
      <c r="R11" s="81">
        <v>5</v>
      </c>
      <c r="S11" s="81">
        <v>5</v>
      </c>
      <c r="T11" s="81">
        <v>5</v>
      </c>
      <c r="U11" s="81">
        <v>5</v>
      </c>
      <c r="V11" s="11">
        <f t="shared" si="0"/>
        <v>99</v>
      </c>
    </row>
    <row r="12" spans="1:22" ht="15.75" customHeight="1">
      <c r="A12" s="12">
        <v>4</v>
      </c>
      <c r="B12" s="81">
        <v>4</v>
      </c>
      <c r="C12" s="81">
        <v>4</v>
      </c>
      <c r="D12" s="81">
        <v>4</v>
      </c>
      <c r="E12" s="81">
        <v>4</v>
      </c>
      <c r="F12" s="81">
        <v>4</v>
      </c>
      <c r="G12" s="81">
        <v>4</v>
      </c>
      <c r="H12" s="81">
        <v>4</v>
      </c>
      <c r="I12" s="81">
        <v>4</v>
      </c>
      <c r="J12" s="81">
        <v>4</v>
      </c>
      <c r="K12" s="81">
        <v>4</v>
      </c>
      <c r="L12" s="81">
        <v>4</v>
      </c>
      <c r="M12" s="81">
        <v>4</v>
      </c>
      <c r="N12" s="81">
        <v>4</v>
      </c>
      <c r="O12" s="81">
        <v>4</v>
      </c>
      <c r="P12" s="81">
        <v>4</v>
      </c>
      <c r="Q12" s="81">
        <v>4</v>
      </c>
      <c r="R12" s="81">
        <v>4</v>
      </c>
      <c r="S12" s="81">
        <v>4</v>
      </c>
      <c r="T12" s="81">
        <v>4</v>
      </c>
      <c r="U12" s="81">
        <v>4</v>
      </c>
      <c r="V12" s="11">
        <f t="shared" si="0"/>
        <v>80</v>
      </c>
    </row>
    <row r="13" spans="1:22" ht="15.75" customHeight="1">
      <c r="A13" s="12">
        <v>5</v>
      </c>
      <c r="B13" s="81">
        <v>5</v>
      </c>
      <c r="C13" s="81">
        <v>5</v>
      </c>
      <c r="D13" s="81">
        <v>5</v>
      </c>
      <c r="E13" s="81">
        <v>5</v>
      </c>
      <c r="F13" s="81">
        <v>5</v>
      </c>
      <c r="G13" s="81">
        <v>5</v>
      </c>
      <c r="H13" s="81">
        <v>5</v>
      </c>
      <c r="I13" s="81">
        <v>5</v>
      </c>
      <c r="J13" s="81">
        <v>5</v>
      </c>
      <c r="K13" s="81">
        <v>5</v>
      </c>
      <c r="L13" s="81">
        <v>5</v>
      </c>
      <c r="M13" s="81">
        <v>5</v>
      </c>
      <c r="N13" s="81">
        <v>5</v>
      </c>
      <c r="O13" s="81">
        <v>5</v>
      </c>
      <c r="P13" s="81">
        <v>5</v>
      </c>
      <c r="Q13" s="81">
        <v>5</v>
      </c>
      <c r="R13" s="81">
        <v>5</v>
      </c>
      <c r="S13" s="81">
        <v>5</v>
      </c>
      <c r="T13" s="81">
        <v>5</v>
      </c>
      <c r="U13" s="81">
        <v>5</v>
      </c>
      <c r="V13" s="11">
        <f t="shared" si="0"/>
        <v>100</v>
      </c>
    </row>
    <row r="14" spans="1:22" ht="15.75" customHeight="1">
      <c r="A14" s="12">
        <v>6</v>
      </c>
      <c r="B14" s="81">
        <v>3</v>
      </c>
      <c r="C14" s="81">
        <v>3</v>
      </c>
      <c r="D14" s="81">
        <v>3</v>
      </c>
      <c r="E14" s="81">
        <v>3</v>
      </c>
      <c r="F14" s="81">
        <v>3</v>
      </c>
      <c r="G14" s="81">
        <v>3</v>
      </c>
      <c r="H14" s="81">
        <v>3</v>
      </c>
      <c r="I14" s="81">
        <v>3</v>
      </c>
      <c r="J14" s="81">
        <v>3</v>
      </c>
      <c r="K14" s="81">
        <v>3</v>
      </c>
      <c r="L14" s="81">
        <v>3</v>
      </c>
      <c r="M14" s="81">
        <v>3</v>
      </c>
      <c r="N14" s="81">
        <v>3</v>
      </c>
      <c r="O14" s="81">
        <v>3</v>
      </c>
      <c r="P14" s="81">
        <v>3</v>
      </c>
      <c r="Q14" s="81">
        <v>3</v>
      </c>
      <c r="R14" s="81">
        <v>3</v>
      </c>
      <c r="S14" s="81">
        <v>3</v>
      </c>
      <c r="T14" s="81">
        <v>3</v>
      </c>
      <c r="U14" s="81">
        <v>3</v>
      </c>
      <c r="V14" s="11">
        <f t="shared" si="0"/>
        <v>60</v>
      </c>
    </row>
    <row r="15" spans="1:22" ht="15.75" customHeight="1">
      <c r="A15" s="12">
        <v>7</v>
      </c>
      <c r="B15" s="81">
        <v>4</v>
      </c>
      <c r="C15" s="81">
        <v>5</v>
      </c>
      <c r="D15" s="81">
        <v>4</v>
      </c>
      <c r="E15" s="81">
        <v>5</v>
      </c>
      <c r="F15" s="81">
        <v>4</v>
      </c>
      <c r="G15" s="81">
        <v>4</v>
      </c>
      <c r="H15" s="81">
        <v>5</v>
      </c>
      <c r="I15" s="81">
        <v>5</v>
      </c>
      <c r="J15" s="81">
        <v>5</v>
      </c>
      <c r="K15" s="81">
        <v>5</v>
      </c>
      <c r="L15" s="81">
        <v>5</v>
      </c>
      <c r="M15" s="81">
        <v>4</v>
      </c>
      <c r="N15" s="81">
        <v>4</v>
      </c>
      <c r="O15" s="81">
        <v>4</v>
      </c>
      <c r="P15" s="81">
        <v>4</v>
      </c>
      <c r="Q15" s="81">
        <v>4</v>
      </c>
      <c r="R15" s="81">
        <v>5</v>
      </c>
      <c r="S15" s="81">
        <v>5</v>
      </c>
      <c r="T15" s="81">
        <v>4</v>
      </c>
      <c r="U15" s="81">
        <v>5</v>
      </c>
      <c r="V15" s="11">
        <f t="shared" si="0"/>
        <v>90</v>
      </c>
    </row>
    <row r="16" spans="1:22" ht="15.75" customHeight="1">
      <c r="A16" s="12">
        <v>8</v>
      </c>
      <c r="B16" s="81">
        <v>5</v>
      </c>
      <c r="C16" s="81">
        <v>4</v>
      </c>
      <c r="D16" s="81">
        <v>5</v>
      </c>
      <c r="E16" s="81">
        <v>5</v>
      </c>
      <c r="F16" s="81">
        <v>5</v>
      </c>
      <c r="G16" s="81">
        <v>4</v>
      </c>
      <c r="H16" s="81">
        <v>5</v>
      </c>
      <c r="I16" s="81">
        <v>4</v>
      </c>
      <c r="J16" s="81">
        <v>5</v>
      </c>
      <c r="K16" s="81">
        <v>5</v>
      </c>
      <c r="L16" s="81">
        <v>5</v>
      </c>
      <c r="M16" s="81">
        <v>5</v>
      </c>
      <c r="N16" s="81">
        <v>5</v>
      </c>
      <c r="O16" s="81">
        <v>5</v>
      </c>
      <c r="P16" s="81">
        <v>5</v>
      </c>
      <c r="Q16" s="81">
        <v>5</v>
      </c>
      <c r="R16" s="81">
        <v>5</v>
      </c>
      <c r="S16" s="81">
        <v>5</v>
      </c>
      <c r="T16" s="81">
        <v>5</v>
      </c>
      <c r="U16" s="81">
        <v>5</v>
      </c>
      <c r="V16" s="11">
        <f t="shared" si="0"/>
        <v>97</v>
      </c>
    </row>
    <row r="17" spans="1:22" ht="15.75" customHeight="1">
      <c r="A17" s="12">
        <v>9</v>
      </c>
      <c r="B17" s="81">
        <v>5</v>
      </c>
      <c r="C17" s="81">
        <v>5</v>
      </c>
      <c r="D17" s="81">
        <v>5</v>
      </c>
      <c r="E17" s="81">
        <v>5</v>
      </c>
      <c r="F17" s="81">
        <v>5</v>
      </c>
      <c r="G17" s="81">
        <v>4</v>
      </c>
      <c r="H17" s="81">
        <v>5</v>
      </c>
      <c r="I17" s="81">
        <v>5</v>
      </c>
      <c r="J17" s="81">
        <v>5</v>
      </c>
      <c r="K17" s="81"/>
      <c r="L17" s="81">
        <v>5</v>
      </c>
      <c r="M17" s="81">
        <v>5</v>
      </c>
      <c r="N17" s="81">
        <v>4</v>
      </c>
      <c r="O17" s="81">
        <v>5</v>
      </c>
      <c r="P17" s="81">
        <v>4</v>
      </c>
      <c r="Q17" s="81"/>
      <c r="R17" s="81">
        <v>5</v>
      </c>
      <c r="S17" s="81">
        <v>5</v>
      </c>
      <c r="T17" s="81">
        <v>5</v>
      </c>
      <c r="U17" s="81">
        <v>5</v>
      </c>
      <c r="V17" s="11">
        <f t="shared" si="0"/>
        <v>87</v>
      </c>
    </row>
    <row r="18" spans="1:22" ht="15.75" customHeight="1">
      <c r="A18" s="12">
        <v>10</v>
      </c>
      <c r="B18" s="81">
        <v>3</v>
      </c>
      <c r="C18" s="81">
        <v>4</v>
      </c>
      <c r="D18" s="81">
        <v>3</v>
      </c>
      <c r="E18" s="81">
        <v>3</v>
      </c>
      <c r="F18" s="81">
        <v>4</v>
      </c>
      <c r="G18" s="81">
        <v>3</v>
      </c>
      <c r="H18" s="81">
        <v>4</v>
      </c>
      <c r="I18" s="81">
        <v>3</v>
      </c>
      <c r="J18" s="81">
        <v>4</v>
      </c>
      <c r="K18" s="81">
        <v>4</v>
      </c>
      <c r="L18" s="81">
        <v>4</v>
      </c>
      <c r="M18" s="81">
        <v>3</v>
      </c>
      <c r="N18" s="81">
        <v>4</v>
      </c>
      <c r="O18" s="81">
        <v>3</v>
      </c>
      <c r="P18" s="81">
        <v>3</v>
      </c>
      <c r="Q18" s="81">
        <v>4</v>
      </c>
      <c r="R18" s="81">
        <v>3</v>
      </c>
      <c r="S18" s="81">
        <v>4</v>
      </c>
      <c r="T18" s="81">
        <v>4</v>
      </c>
      <c r="U18" s="81">
        <v>4</v>
      </c>
      <c r="V18" s="11">
        <f t="shared" si="0"/>
        <v>71</v>
      </c>
    </row>
    <row r="19" spans="1:22" ht="15.75" customHeight="1">
      <c r="A19" s="12">
        <v>11</v>
      </c>
      <c r="B19" s="81">
        <v>3</v>
      </c>
      <c r="C19" s="81">
        <v>3</v>
      </c>
      <c r="D19" s="81">
        <v>3</v>
      </c>
      <c r="E19" s="81">
        <v>3</v>
      </c>
      <c r="F19" s="81">
        <v>3</v>
      </c>
      <c r="G19" s="81">
        <v>3</v>
      </c>
      <c r="H19" s="81">
        <v>3</v>
      </c>
      <c r="I19" s="81">
        <v>3</v>
      </c>
      <c r="J19" s="81">
        <v>3</v>
      </c>
      <c r="K19" s="81">
        <v>3</v>
      </c>
      <c r="L19" s="81">
        <v>3</v>
      </c>
      <c r="M19" s="81">
        <v>3</v>
      </c>
      <c r="N19" s="81">
        <v>3</v>
      </c>
      <c r="O19" s="81">
        <v>3</v>
      </c>
      <c r="P19" s="81">
        <v>3</v>
      </c>
      <c r="Q19" s="81">
        <v>3</v>
      </c>
      <c r="R19" s="81">
        <v>3</v>
      </c>
      <c r="S19" s="81">
        <v>3</v>
      </c>
      <c r="T19" s="81">
        <v>3</v>
      </c>
      <c r="U19" s="81">
        <v>3</v>
      </c>
      <c r="V19" s="11">
        <f t="shared" si="0"/>
        <v>60</v>
      </c>
    </row>
    <row r="20" spans="1:22" ht="15.75" customHeight="1">
      <c r="A20" s="12">
        <v>12</v>
      </c>
      <c r="B20" s="81">
        <v>4</v>
      </c>
      <c r="C20" s="81">
        <v>4</v>
      </c>
      <c r="D20" s="81">
        <v>5</v>
      </c>
      <c r="E20" s="81">
        <v>5</v>
      </c>
      <c r="F20" s="81">
        <v>5</v>
      </c>
      <c r="G20" s="81">
        <v>4</v>
      </c>
      <c r="H20" s="81">
        <v>5</v>
      </c>
      <c r="I20" s="81">
        <v>5</v>
      </c>
      <c r="J20" s="81">
        <v>5</v>
      </c>
      <c r="K20" s="81">
        <v>5</v>
      </c>
      <c r="L20" s="81">
        <v>5</v>
      </c>
      <c r="M20" s="81">
        <v>5</v>
      </c>
      <c r="N20" s="81">
        <v>5</v>
      </c>
      <c r="O20" s="81">
        <v>5</v>
      </c>
      <c r="P20" s="81">
        <v>5</v>
      </c>
      <c r="Q20" s="81">
        <v>5</v>
      </c>
      <c r="R20" s="81">
        <v>5</v>
      </c>
      <c r="S20" s="81">
        <v>5</v>
      </c>
      <c r="T20" s="81">
        <v>5</v>
      </c>
      <c r="U20" s="81">
        <v>5</v>
      </c>
      <c r="V20" s="11">
        <f t="shared" si="0"/>
        <v>97</v>
      </c>
    </row>
    <row r="21" spans="1:22" ht="15.75" customHeight="1">
      <c r="A21" s="12">
        <v>13</v>
      </c>
      <c r="B21" s="81">
        <v>5</v>
      </c>
      <c r="C21" s="81">
        <v>5</v>
      </c>
      <c r="D21" s="81">
        <v>5</v>
      </c>
      <c r="E21" s="81">
        <v>5</v>
      </c>
      <c r="F21" s="81">
        <v>5</v>
      </c>
      <c r="G21" s="81">
        <v>5</v>
      </c>
      <c r="H21" s="81">
        <v>5</v>
      </c>
      <c r="I21" s="81">
        <v>5</v>
      </c>
      <c r="J21" s="81">
        <v>5</v>
      </c>
      <c r="K21" s="81">
        <v>5</v>
      </c>
      <c r="L21" s="81">
        <v>5</v>
      </c>
      <c r="M21" s="81">
        <v>5</v>
      </c>
      <c r="N21" s="81">
        <v>5</v>
      </c>
      <c r="O21" s="81">
        <v>5</v>
      </c>
      <c r="P21" s="81">
        <v>5</v>
      </c>
      <c r="Q21" s="81">
        <v>5</v>
      </c>
      <c r="R21" s="81">
        <v>5</v>
      </c>
      <c r="S21" s="81">
        <v>5</v>
      </c>
      <c r="T21" s="81">
        <v>5</v>
      </c>
      <c r="U21" s="81">
        <v>5</v>
      </c>
      <c r="V21" s="11">
        <f t="shared" si="0"/>
        <v>100</v>
      </c>
    </row>
    <row r="22" spans="1:22" ht="15.75" customHeight="1">
      <c r="A22" s="12">
        <v>14</v>
      </c>
      <c r="B22" s="81">
        <v>5</v>
      </c>
      <c r="C22" s="81">
        <v>5</v>
      </c>
      <c r="D22" s="81">
        <v>5</v>
      </c>
      <c r="E22" s="81">
        <v>5</v>
      </c>
      <c r="F22" s="81">
        <v>5</v>
      </c>
      <c r="G22" s="81">
        <v>4</v>
      </c>
      <c r="H22" s="81">
        <v>5</v>
      </c>
      <c r="I22" s="81">
        <v>5</v>
      </c>
      <c r="J22" s="81">
        <v>5</v>
      </c>
      <c r="K22" s="81">
        <v>5</v>
      </c>
      <c r="L22" s="81">
        <v>5</v>
      </c>
      <c r="M22" s="81">
        <v>5</v>
      </c>
      <c r="N22" s="81">
        <v>5</v>
      </c>
      <c r="O22" s="81">
        <v>5</v>
      </c>
      <c r="P22" s="81">
        <v>5</v>
      </c>
      <c r="Q22" s="81">
        <v>5</v>
      </c>
      <c r="R22" s="81">
        <v>5</v>
      </c>
      <c r="S22" s="81">
        <v>5</v>
      </c>
      <c r="T22" s="81">
        <v>5</v>
      </c>
      <c r="U22" s="81">
        <v>5</v>
      </c>
      <c r="V22" s="11">
        <f t="shared" si="0"/>
        <v>99</v>
      </c>
    </row>
    <row r="23" spans="1:22" ht="15.75" customHeight="1">
      <c r="A23" s="12">
        <v>15</v>
      </c>
      <c r="B23" s="81">
        <v>5</v>
      </c>
      <c r="C23" s="81">
        <v>5</v>
      </c>
      <c r="D23" s="81">
        <v>5</v>
      </c>
      <c r="E23" s="81">
        <v>5</v>
      </c>
      <c r="F23" s="81">
        <v>5</v>
      </c>
      <c r="G23" s="81">
        <v>5</v>
      </c>
      <c r="H23" s="81">
        <v>5</v>
      </c>
      <c r="I23" s="81">
        <v>5</v>
      </c>
      <c r="J23" s="81">
        <v>5</v>
      </c>
      <c r="K23" s="81">
        <v>5</v>
      </c>
      <c r="L23" s="81">
        <v>5</v>
      </c>
      <c r="M23" s="81">
        <v>5</v>
      </c>
      <c r="N23" s="81">
        <v>5</v>
      </c>
      <c r="O23" s="81">
        <v>5</v>
      </c>
      <c r="P23" s="81">
        <v>5</v>
      </c>
      <c r="Q23" s="81">
        <v>5</v>
      </c>
      <c r="R23" s="81">
        <v>5</v>
      </c>
      <c r="S23" s="81">
        <v>5</v>
      </c>
      <c r="T23" s="81">
        <v>5</v>
      </c>
      <c r="U23" s="81">
        <v>5</v>
      </c>
      <c r="V23" s="11">
        <f t="shared" si="0"/>
        <v>100</v>
      </c>
    </row>
    <row r="24" spans="1:22" ht="15.75" customHeight="1">
      <c r="A24" s="12">
        <v>16</v>
      </c>
      <c r="B24" s="81">
        <v>4</v>
      </c>
      <c r="C24" s="81">
        <v>4</v>
      </c>
      <c r="D24" s="81">
        <v>4</v>
      </c>
      <c r="E24" s="81">
        <v>5</v>
      </c>
      <c r="F24" s="81">
        <v>5</v>
      </c>
      <c r="G24" s="81">
        <v>4</v>
      </c>
      <c r="H24" s="81">
        <v>5</v>
      </c>
      <c r="I24" s="81">
        <v>5</v>
      </c>
      <c r="J24" s="81">
        <v>5</v>
      </c>
      <c r="K24" s="81">
        <v>5</v>
      </c>
      <c r="L24" s="81">
        <v>5</v>
      </c>
      <c r="M24" s="81">
        <v>5</v>
      </c>
      <c r="N24" s="81">
        <v>5</v>
      </c>
      <c r="O24" s="81">
        <v>5</v>
      </c>
      <c r="P24" s="81">
        <v>5</v>
      </c>
      <c r="Q24" s="81">
        <v>5</v>
      </c>
      <c r="R24" s="81">
        <v>5</v>
      </c>
      <c r="S24" s="81">
        <v>4</v>
      </c>
      <c r="T24" s="81">
        <v>5</v>
      </c>
      <c r="U24" s="81">
        <v>5</v>
      </c>
      <c r="V24" s="11">
        <f t="shared" si="0"/>
        <v>95</v>
      </c>
    </row>
    <row r="25" spans="1:22" ht="15.75" customHeight="1">
      <c r="A25" s="12">
        <v>17</v>
      </c>
      <c r="B25" s="81">
        <v>5</v>
      </c>
      <c r="C25" s="81">
        <v>5</v>
      </c>
      <c r="D25" s="81">
        <v>5</v>
      </c>
      <c r="E25" s="81">
        <v>5</v>
      </c>
      <c r="F25" s="81">
        <v>5</v>
      </c>
      <c r="G25" s="81">
        <v>4</v>
      </c>
      <c r="H25" s="81">
        <v>5</v>
      </c>
      <c r="I25" s="81">
        <v>5</v>
      </c>
      <c r="J25" s="81">
        <v>5</v>
      </c>
      <c r="K25" s="81">
        <v>5</v>
      </c>
      <c r="L25" s="81">
        <v>5</v>
      </c>
      <c r="M25" s="81">
        <v>5</v>
      </c>
      <c r="N25" s="81">
        <v>5</v>
      </c>
      <c r="O25" s="81">
        <v>5</v>
      </c>
      <c r="P25" s="81">
        <v>5</v>
      </c>
      <c r="Q25" s="81">
        <v>5</v>
      </c>
      <c r="R25" s="81">
        <v>5</v>
      </c>
      <c r="S25" s="81">
        <v>5</v>
      </c>
      <c r="T25" s="81">
        <v>5</v>
      </c>
      <c r="U25" s="81">
        <v>5</v>
      </c>
      <c r="V25" s="11">
        <f t="shared" si="0"/>
        <v>99</v>
      </c>
    </row>
    <row r="26" spans="1:22" ht="15.75" customHeight="1">
      <c r="A26" s="12">
        <v>18</v>
      </c>
      <c r="B26" s="81">
        <v>4</v>
      </c>
      <c r="C26" s="81">
        <v>4</v>
      </c>
      <c r="D26" s="81">
        <v>4</v>
      </c>
      <c r="E26" s="81">
        <v>4</v>
      </c>
      <c r="F26" s="81">
        <v>4</v>
      </c>
      <c r="G26" s="81">
        <v>3</v>
      </c>
      <c r="H26" s="81">
        <v>4</v>
      </c>
      <c r="I26" s="81">
        <v>4</v>
      </c>
      <c r="J26" s="81">
        <v>5</v>
      </c>
      <c r="K26" s="81">
        <v>4</v>
      </c>
      <c r="L26" s="81">
        <v>4</v>
      </c>
      <c r="M26" s="81">
        <v>5</v>
      </c>
      <c r="N26" s="81">
        <v>4</v>
      </c>
      <c r="O26" s="81">
        <v>5</v>
      </c>
      <c r="P26" s="81">
        <v>4</v>
      </c>
      <c r="Q26" s="81">
        <v>5</v>
      </c>
      <c r="R26" s="81">
        <v>4</v>
      </c>
      <c r="S26" s="81">
        <v>4</v>
      </c>
      <c r="T26" s="81">
        <v>4</v>
      </c>
      <c r="U26" s="81">
        <v>4</v>
      </c>
      <c r="V26" s="11">
        <f t="shared" si="0"/>
        <v>83</v>
      </c>
    </row>
    <row r="27" spans="1:22" ht="15.75" customHeight="1">
      <c r="A27" s="12">
        <v>19</v>
      </c>
      <c r="B27" s="81">
        <v>5</v>
      </c>
      <c r="C27" s="81">
        <v>5</v>
      </c>
      <c r="D27" s="81">
        <v>4</v>
      </c>
      <c r="E27" s="81">
        <v>4</v>
      </c>
      <c r="F27" s="81">
        <v>3</v>
      </c>
      <c r="G27" s="81">
        <v>4</v>
      </c>
      <c r="H27" s="81">
        <v>5</v>
      </c>
      <c r="I27" s="81">
        <v>5</v>
      </c>
      <c r="J27" s="81">
        <v>5</v>
      </c>
      <c r="K27" s="81">
        <v>5</v>
      </c>
      <c r="L27" s="81">
        <v>5</v>
      </c>
      <c r="M27" s="81">
        <v>5</v>
      </c>
      <c r="N27" s="81">
        <v>5</v>
      </c>
      <c r="O27" s="81">
        <v>5</v>
      </c>
      <c r="P27" s="81">
        <v>5</v>
      </c>
      <c r="Q27" s="81">
        <v>5</v>
      </c>
      <c r="R27" s="81">
        <v>4</v>
      </c>
      <c r="S27" s="81">
        <v>5</v>
      </c>
      <c r="T27" s="81">
        <v>5</v>
      </c>
      <c r="U27" s="81">
        <v>5</v>
      </c>
      <c r="V27" s="11">
        <f t="shared" si="0"/>
        <v>94</v>
      </c>
    </row>
    <row r="28" spans="1:22" ht="15.75" customHeight="1">
      <c r="A28" s="12">
        <v>20</v>
      </c>
      <c r="B28" s="81">
        <v>5</v>
      </c>
      <c r="C28" s="81">
        <v>5</v>
      </c>
      <c r="D28" s="81">
        <v>5</v>
      </c>
      <c r="E28" s="81">
        <v>5</v>
      </c>
      <c r="F28" s="81">
        <v>5</v>
      </c>
      <c r="G28" s="81">
        <v>4</v>
      </c>
      <c r="H28" s="81">
        <v>5</v>
      </c>
      <c r="I28" s="81">
        <v>5</v>
      </c>
      <c r="J28" s="81">
        <v>5</v>
      </c>
      <c r="K28" s="81">
        <v>5</v>
      </c>
      <c r="L28" s="81">
        <v>5</v>
      </c>
      <c r="M28" s="81">
        <v>5</v>
      </c>
      <c r="N28" s="81">
        <v>5</v>
      </c>
      <c r="O28" s="81">
        <v>5</v>
      </c>
      <c r="P28" s="81">
        <v>5</v>
      </c>
      <c r="Q28" s="81">
        <v>5</v>
      </c>
      <c r="R28" s="81">
        <v>5</v>
      </c>
      <c r="S28" s="81">
        <v>5</v>
      </c>
      <c r="T28" s="81">
        <v>5</v>
      </c>
      <c r="U28" s="81">
        <v>5</v>
      </c>
      <c r="V28" s="11">
        <f t="shared" si="0"/>
        <v>99</v>
      </c>
    </row>
    <row r="29" spans="1:22" ht="15.75" customHeight="1">
      <c r="A29" s="12">
        <v>21</v>
      </c>
      <c r="B29" s="81">
        <v>4</v>
      </c>
      <c r="C29" s="81">
        <v>5</v>
      </c>
      <c r="D29" s="81">
        <v>2</v>
      </c>
      <c r="E29" s="81">
        <v>4</v>
      </c>
      <c r="F29" s="81">
        <v>4</v>
      </c>
      <c r="G29" s="81">
        <v>2</v>
      </c>
      <c r="H29" s="81">
        <v>4</v>
      </c>
      <c r="I29" s="81">
        <v>4</v>
      </c>
      <c r="J29" s="81">
        <v>3</v>
      </c>
      <c r="K29" s="81">
        <v>3</v>
      </c>
      <c r="L29" s="81">
        <v>2</v>
      </c>
      <c r="M29" s="81">
        <v>2</v>
      </c>
      <c r="N29" s="81">
        <v>4</v>
      </c>
      <c r="O29" s="81">
        <v>3</v>
      </c>
      <c r="P29" s="81">
        <v>3</v>
      </c>
      <c r="Q29" s="81">
        <v>4</v>
      </c>
      <c r="R29" s="81">
        <v>5</v>
      </c>
      <c r="S29" s="81">
        <v>3</v>
      </c>
      <c r="T29" s="81">
        <v>2</v>
      </c>
      <c r="U29" s="81">
        <v>4</v>
      </c>
      <c r="V29" s="11">
        <f t="shared" si="0"/>
        <v>67</v>
      </c>
    </row>
    <row r="30" spans="1:22" ht="15.75" customHeight="1">
      <c r="A30" s="12">
        <v>22</v>
      </c>
      <c r="B30" s="81">
        <v>5</v>
      </c>
      <c r="C30" s="81">
        <v>5</v>
      </c>
      <c r="D30" s="81">
        <v>5</v>
      </c>
      <c r="E30" s="81">
        <v>5</v>
      </c>
      <c r="F30" s="81">
        <v>5</v>
      </c>
      <c r="G30" s="81">
        <v>5</v>
      </c>
      <c r="H30" s="81">
        <v>5</v>
      </c>
      <c r="I30" s="81">
        <v>5</v>
      </c>
      <c r="J30" s="81">
        <v>5</v>
      </c>
      <c r="K30" s="81">
        <v>5</v>
      </c>
      <c r="L30" s="81">
        <v>5</v>
      </c>
      <c r="M30" s="81">
        <v>5</v>
      </c>
      <c r="N30" s="81">
        <v>5</v>
      </c>
      <c r="O30" s="81">
        <v>5</v>
      </c>
      <c r="P30" s="81">
        <v>5</v>
      </c>
      <c r="Q30" s="81">
        <v>5</v>
      </c>
      <c r="R30" s="81">
        <v>5</v>
      </c>
      <c r="S30" s="81">
        <v>5</v>
      </c>
      <c r="T30" s="81">
        <v>5</v>
      </c>
      <c r="U30" s="81">
        <v>5</v>
      </c>
      <c r="V30" s="11">
        <f t="shared" si="0"/>
        <v>100</v>
      </c>
    </row>
    <row r="31" spans="1:22" ht="15.75" customHeight="1">
      <c r="A31" s="12">
        <v>23</v>
      </c>
      <c r="B31" s="81">
        <v>4</v>
      </c>
      <c r="C31" s="81">
        <v>5</v>
      </c>
      <c r="D31" s="81">
        <v>5</v>
      </c>
      <c r="E31" s="81">
        <v>5</v>
      </c>
      <c r="F31" s="81">
        <v>5</v>
      </c>
      <c r="G31" s="81">
        <v>4</v>
      </c>
      <c r="H31" s="81">
        <v>5</v>
      </c>
      <c r="I31" s="81">
        <v>5</v>
      </c>
      <c r="J31" s="81">
        <v>3</v>
      </c>
      <c r="K31" s="81">
        <v>5</v>
      </c>
      <c r="L31" s="81">
        <v>5</v>
      </c>
      <c r="M31" s="81">
        <v>5</v>
      </c>
      <c r="N31" s="81">
        <v>5</v>
      </c>
      <c r="O31" s="81">
        <v>5</v>
      </c>
      <c r="P31" s="81">
        <v>5</v>
      </c>
      <c r="Q31" s="81">
        <v>5</v>
      </c>
      <c r="R31" s="81">
        <v>5</v>
      </c>
      <c r="S31" s="81">
        <v>5</v>
      </c>
      <c r="T31" s="81">
        <v>5</v>
      </c>
      <c r="U31" s="81">
        <v>4</v>
      </c>
      <c r="V31" s="11">
        <f t="shared" si="0"/>
        <v>95</v>
      </c>
    </row>
    <row r="32" spans="1:22" ht="15.75" customHeight="1">
      <c r="A32" s="12">
        <v>24</v>
      </c>
      <c r="B32" s="81">
        <v>5</v>
      </c>
      <c r="C32" s="81">
        <v>5</v>
      </c>
      <c r="D32" s="81">
        <v>5</v>
      </c>
      <c r="E32" s="81">
        <v>5</v>
      </c>
      <c r="F32" s="81">
        <v>5</v>
      </c>
      <c r="G32" s="81">
        <v>4</v>
      </c>
      <c r="H32" s="81">
        <v>5</v>
      </c>
      <c r="I32" s="81">
        <v>5</v>
      </c>
      <c r="J32" s="81">
        <v>5</v>
      </c>
      <c r="K32" s="81">
        <v>5</v>
      </c>
      <c r="L32" s="81">
        <v>5</v>
      </c>
      <c r="M32" s="81">
        <v>5</v>
      </c>
      <c r="N32" s="81">
        <v>5</v>
      </c>
      <c r="O32" s="81">
        <v>5</v>
      </c>
      <c r="P32" s="81">
        <v>5</v>
      </c>
      <c r="Q32" s="81">
        <v>4</v>
      </c>
      <c r="R32" s="81">
        <v>5</v>
      </c>
      <c r="S32" s="81">
        <v>4</v>
      </c>
      <c r="T32" s="81">
        <v>5</v>
      </c>
      <c r="U32" s="81">
        <v>4</v>
      </c>
      <c r="V32" s="11">
        <f t="shared" si="0"/>
        <v>96</v>
      </c>
    </row>
    <row r="33" spans="1:22" ht="15.75" customHeight="1">
      <c r="A33" s="12">
        <v>25</v>
      </c>
      <c r="B33" s="81">
        <v>5</v>
      </c>
      <c r="C33" s="81">
        <v>5</v>
      </c>
      <c r="D33" s="81">
        <v>5</v>
      </c>
      <c r="E33" s="81">
        <v>5</v>
      </c>
      <c r="F33" s="81">
        <v>5</v>
      </c>
      <c r="G33" s="81">
        <v>4</v>
      </c>
      <c r="H33" s="81">
        <v>5</v>
      </c>
      <c r="I33" s="81">
        <v>5</v>
      </c>
      <c r="J33" s="81">
        <v>4</v>
      </c>
      <c r="K33" s="81">
        <v>5</v>
      </c>
      <c r="L33" s="81">
        <v>5</v>
      </c>
      <c r="M33" s="81">
        <v>4</v>
      </c>
      <c r="N33" s="81">
        <v>1</v>
      </c>
      <c r="O33" s="81">
        <v>5</v>
      </c>
      <c r="P33" s="81">
        <v>5</v>
      </c>
      <c r="Q33" s="81">
        <v>5</v>
      </c>
      <c r="R33" s="81">
        <v>5</v>
      </c>
      <c r="S33" s="81">
        <v>5</v>
      </c>
      <c r="T33" s="81">
        <v>5</v>
      </c>
      <c r="U33" s="81">
        <v>4</v>
      </c>
      <c r="V33" s="11">
        <f t="shared" si="0"/>
        <v>92</v>
      </c>
    </row>
    <row r="34" spans="1:22" ht="15.75" customHeight="1">
      <c r="A34" s="12">
        <v>26</v>
      </c>
      <c r="B34" s="81">
        <v>4</v>
      </c>
      <c r="C34" s="81">
        <v>4</v>
      </c>
      <c r="D34" s="81">
        <v>4</v>
      </c>
      <c r="E34" s="81">
        <v>3</v>
      </c>
      <c r="F34" s="81">
        <v>4</v>
      </c>
      <c r="G34" s="81">
        <v>4</v>
      </c>
      <c r="H34" s="81">
        <v>4</v>
      </c>
      <c r="I34" s="81">
        <v>3</v>
      </c>
      <c r="J34" s="81">
        <v>3</v>
      </c>
      <c r="K34" s="81">
        <v>4</v>
      </c>
      <c r="L34" s="81">
        <v>2</v>
      </c>
      <c r="M34" s="81">
        <v>3</v>
      </c>
      <c r="N34" s="81">
        <v>4</v>
      </c>
      <c r="O34" s="81">
        <v>5</v>
      </c>
      <c r="P34" s="81">
        <v>5</v>
      </c>
      <c r="Q34" s="81">
        <v>5</v>
      </c>
      <c r="R34" s="81">
        <v>4</v>
      </c>
      <c r="S34" s="81">
        <v>5</v>
      </c>
      <c r="T34" s="81">
        <v>5</v>
      </c>
      <c r="U34" s="81">
        <v>4</v>
      </c>
      <c r="V34" s="11">
        <f t="shared" si="0"/>
        <v>79</v>
      </c>
    </row>
    <row r="35" spans="1:22" ht="15.75" customHeight="1">
      <c r="A35" s="12">
        <v>27</v>
      </c>
      <c r="B35" s="81">
        <v>5</v>
      </c>
      <c r="C35" s="81">
        <v>4</v>
      </c>
      <c r="D35" s="81">
        <v>5</v>
      </c>
      <c r="E35" s="81">
        <v>5</v>
      </c>
      <c r="F35" s="81">
        <v>5</v>
      </c>
      <c r="G35" s="81">
        <v>5</v>
      </c>
      <c r="H35" s="81">
        <v>5</v>
      </c>
      <c r="I35" s="81">
        <v>5</v>
      </c>
      <c r="J35" s="81">
        <v>4</v>
      </c>
      <c r="K35" s="81">
        <v>5</v>
      </c>
      <c r="L35" s="81">
        <v>5</v>
      </c>
      <c r="M35" s="81">
        <v>4</v>
      </c>
      <c r="N35" s="81">
        <v>4</v>
      </c>
      <c r="O35" s="81">
        <v>5</v>
      </c>
      <c r="P35" s="81">
        <v>5</v>
      </c>
      <c r="Q35" s="81">
        <v>5</v>
      </c>
      <c r="R35" s="81">
        <v>5</v>
      </c>
      <c r="S35" s="81">
        <v>4</v>
      </c>
      <c r="T35" s="81">
        <v>5</v>
      </c>
      <c r="U35" s="81">
        <v>5</v>
      </c>
      <c r="V35" s="11">
        <f t="shared" si="0"/>
        <v>95</v>
      </c>
    </row>
    <row r="36" spans="1:22" ht="15.75" customHeight="1">
      <c r="A36" s="12">
        <v>28</v>
      </c>
      <c r="B36" s="81">
        <v>3</v>
      </c>
      <c r="C36" s="81">
        <v>4</v>
      </c>
      <c r="D36" s="81">
        <v>4</v>
      </c>
      <c r="E36" s="81">
        <v>2</v>
      </c>
      <c r="F36" s="81">
        <v>4</v>
      </c>
      <c r="G36" s="81">
        <v>2</v>
      </c>
      <c r="H36" s="81">
        <v>4</v>
      </c>
      <c r="I36" s="81">
        <v>4</v>
      </c>
      <c r="J36" s="81">
        <v>4</v>
      </c>
      <c r="K36" s="81">
        <v>4</v>
      </c>
      <c r="L36" s="81">
        <v>4</v>
      </c>
      <c r="M36" s="81">
        <v>3</v>
      </c>
      <c r="N36" s="81">
        <v>3</v>
      </c>
      <c r="O36" s="81">
        <v>4</v>
      </c>
      <c r="P36" s="81">
        <v>3</v>
      </c>
      <c r="Q36" s="81">
        <v>4</v>
      </c>
      <c r="R36" s="81">
        <v>4</v>
      </c>
      <c r="S36" s="81">
        <v>3</v>
      </c>
      <c r="T36" s="81">
        <v>4</v>
      </c>
      <c r="U36" s="81">
        <v>3</v>
      </c>
      <c r="V36" s="11">
        <f t="shared" si="0"/>
        <v>70</v>
      </c>
    </row>
    <row r="37" spans="1:22" ht="15.75" customHeight="1">
      <c r="A37" s="12">
        <v>29</v>
      </c>
      <c r="B37" s="81">
        <v>5</v>
      </c>
      <c r="C37" s="81">
        <v>5</v>
      </c>
      <c r="D37" s="81">
        <v>5</v>
      </c>
      <c r="E37" s="81">
        <v>5</v>
      </c>
      <c r="F37" s="81">
        <v>5</v>
      </c>
      <c r="G37" s="81">
        <v>4</v>
      </c>
      <c r="H37" s="81">
        <v>5</v>
      </c>
      <c r="I37" s="81">
        <v>5</v>
      </c>
      <c r="J37" s="81">
        <v>5</v>
      </c>
      <c r="K37" s="81">
        <v>5</v>
      </c>
      <c r="L37" s="81">
        <v>5</v>
      </c>
      <c r="M37" s="81">
        <v>5</v>
      </c>
      <c r="N37" s="81">
        <v>5</v>
      </c>
      <c r="O37" s="81">
        <v>5</v>
      </c>
      <c r="P37" s="81">
        <v>5</v>
      </c>
      <c r="Q37" s="81">
        <v>5</v>
      </c>
      <c r="R37" s="81">
        <v>5</v>
      </c>
      <c r="S37" s="81">
        <v>5</v>
      </c>
      <c r="T37" s="81">
        <v>5</v>
      </c>
      <c r="U37" s="81">
        <v>5</v>
      </c>
      <c r="V37" s="11">
        <f t="shared" si="0"/>
        <v>99</v>
      </c>
    </row>
    <row r="38" spans="1:22" ht="15.75" customHeight="1">
      <c r="A38" s="12">
        <v>30</v>
      </c>
      <c r="B38" s="81">
        <v>3</v>
      </c>
      <c r="C38" s="81">
        <v>3</v>
      </c>
      <c r="D38" s="81">
        <v>3</v>
      </c>
      <c r="E38" s="81">
        <v>3</v>
      </c>
      <c r="F38" s="81">
        <v>4</v>
      </c>
      <c r="G38" s="81">
        <v>3</v>
      </c>
      <c r="H38" s="81">
        <v>4</v>
      </c>
      <c r="I38" s="81">
        <v>4</v>
      </c>
      <c r="J38" s="81">
        <v>4</v>
      </c>
      <c r="K38" s="81">
        <v>4</v>
      </c>
      <c r="L38" s="81">
        <v>4</v>
      </c>
      <c r="M38" s="81">
        <v>3</v>
      </c>
      <c r="N38" s="81">
        <v>4</v>
      </c>
      <c r="O38" s="81">
        <v>4</v>
      </c>
      <c r="P38" s="81">
        <v>3</v>
      </c>
      <c r="Q38" s="81">
        <v>3</v>
      </c>
      <c r="R38" s="81">
        <v>3</v>
      </c>
      <c r="S38" s="81">
        <v>2</v>
      </c>
      <c r="T38" s="81">
        <v>4</v>
      </c>
      <c r="U38" s="81">
        <v>4</v>
      </c>
      <c r="V38" s="11">
        <f t="shared" si="0"/>
        <v>69</v>
      </c>
    </row>
    <row r="39" spans="1:22" ht="15.75" customHeight="1">
      <c r="A39" s="12">
        <v>31</v>
      </c>
      <c r="B39" s="81">
        <v>5</v>
      </c>
      <c r="C39" s="81">
        <v>5</v>
      </c>
      <c r="D39" s="81">
        <v>5</v>
      </c>
      <c r="E39" s="81">
        <v>5</v>
      </c>
      <c r="F39" s="81">
        <v>5</v>
      </c>
      <c r="G39" s="81">
        <v>4</v>
      </c>
      <c r="H39" s="81">
        <v>5</v>
      </c>
      <c r="I39" s="81">
        <v>5</v>
      </c>
      <c r="J39" s="81">
        <v>5</v>
      </c>
      <c r="K39" s="81">
        <v>5</v>
      </c>
      <c r="L39" s="81">
        <v>5</v>
      </c>
      <c r="M39" s="81">
        <v>5</v>
      </c>
      <c r="N39" s="81"/>
      <c r="O39" s="81">
        <v>5</v>
      </c>
      <c r="P39" s="81">
        <v>5</v>
      </c>
      <c r="Q39" s="81">
        <v>5</v>
      </c>
      <c r="R39" s="81">
        <v>5</v>
      </c>
      <c r="S39" s="81">
        <v>5</v>
      </c>
      <c r="T39" s="81">
        <v>5</v>
      </c>
      <c r="U39" s="81">
        <v>5</v>
      </c>
      <c r="V39" s="11">
        <f t="shared" si="0"/>
        <v>94</v>
      </c>
    </row>
    <row r="40" spans="1:22" ht="15.75" customHeight="1">
      <c r="A40" s="12">
        <v>32</v>
      </c>
      <c r="B40" s="81">
        <v>3</v>
      </c>
      <c r="C40" s="81">
        <v>3</v>
      </c>
      <c r="D40" s="81">
        <v>3</v>
      </c>
      <c r="E40" s="81">
        <v>3</v>
      </c>
      <c r="F40" s="81">
        <v>3</v>
      </c>
      <c r="G40" s="81">
        <v>3</v>
      </c>
      <c r="H40" s="81">
        <v>3</v>
      </c>
      <c r="I40" s="81">
        <v>3</v>
      </c>
      <c r="J40" s="81">
        <v>3</v>
      </c>
      <c r="K40" s="81">
        <v>3</v>
      </c>
      <c r="L40" s="81">
        <v>3</v>
      </c>
      <c r="M40" s="81">
        <v>3</v>
      </c>
      <c r="N40" s="81">
        <v>3</v>
      </c>
      <c r="O40" s="81">
        <v>3</v>
      </c>
      <c r="P40" s="81">
        <v>3</v>
      </c>
      <c r="Q40" s="81">
        <v>3</v>
      </c>
      <c r="R40" s="81">
        <v>3</v>
      </c>
      <c r="S40" s="81">
        <v>3</v>
      </c>
      <c r="T40" s="81">
        <v>3</v>
      </c>
      <c r="U40" s="81">
        <v>3</v>
      </c>
      <c r="V40" s="11">
        <f t="shared" si="0"/>
        <v>60</v>
      </c>
    </row>
    <row r="41" spans="1:22" ht="15.75" customHeight="1">
      <c r="A41" s="12">
        <v>33</v>
      </c>
      <c r="B41" s="81">
        <v>5</v>
      </c>
      <c r="C41" s="81">
        <v>5</v>
      </c>
      <c r="D41" s="81">
        <v>5</v>
      </c>
      <c r="E41" s="81">
        <v>5</v>
      </c>
      <c r="F41" s="81">
        <v>5</v>
      </c>
      <c r="G41" s="81">
        <v>4</v>
      </c>
      <c r="H41" s="81">
        <v>4</v>
      </c>
      <c r="I41" s="81">
        <v>5</v>
      </c>
      <c r="J41" s="81">
        <v>5</v>
      </c>
      <c r="K41" s="81">
        <v>5</v>
      </c>
      <c r="L41" s="81">
        <v>5</v>
      </c>
      <c r="M41" s="81">
        <v>5</v>
      </c>
      <c r="N41" s="81">
        <v>4</v>
      </c>
      <c r="O41" s="81">
        <v>5</v>
      </c>
      <c r="P41" s="81">
        <v>4</v>
      </c>
      <c r="Q41" s="81">
        <v>5</v>
      </c>
      <c r="R41" s="81">
        <v>4</v>
      </c>
      <c r="S41" s="81">
        <v>4</v>
      </c>
      <c r="T41" s="81">
        <v>5</v>
      </c>
      <c r="U41" s="81">
        <v>5</v>
      </c>
      <c r="V41" s="11">
        <f t="shared" si="0"/>
        <v>94</v>
      </c>
    </row>
    <row r="42" spans="1:22" ht="15.75" customHeight="1">
      <c r="A42" s="12">
        <v>34</v>
      </c>
      <c r="B42" s="81">
        <v>3</v>
      </c>
      <c r="C42" s="81">
        <v>2</v>
      </c>
      <c r="D42" s="81">
        <v>4</v>
      </c>
      <c r="E42" s="81">
        <v>3</v>
      </c>
      <c r="F42" s="81">
        <v>2</v>
      </c>
      <c r="G42" s="81">
        <v>3</v>
      </c>
      <c r="H42" s="81">
        <v>4</v>
      </c>
      <c r="I42" s="81">
        <v>4</v>
      </c>
      <c r="J42" s="81">
        <v>4</v>
      </c>
      <c r="K42" s="81">
        <v>3</v>
      </c>
      <c r="L42" s="81">
        <v>4</v>
      </c>
      <c r="M42" s="81">
        <v>4</v>
      </c>
      <c r="N42" s="81">
        <v>3</v>
      </c>
      <c r="O42" s="81">
        <v>2</v>
      </c>
      <c r="P42" s="81">
        <v>3</v>
      </c>
      <c r="Q42" s="81">
        <v>3</v>
      </c>
      <c r="R42" s="81">
        <v>4</v>
      </c>
      <c r="S42" s="81">
        <v>2</v>
      </c>
      <c r="T42" s="81">
        <v>3</v>
      </c>
      <c r="U42" s="81">
        <v>4</v>
      </c>
      <c r="V42" s="11">
        <f t="shared" si="0"/>
        <v>64</v>
      </c>
    </row>
    <row r="43" spans="1:22" ht="15.75" customHeight="1">
      <c r="A43" s="12">
        <v>35</v>
      </c>
      <c r="B43" s="81">
        <v>5</v>
      </c>
      <c r="C43" s="81">
        <v>5</v>
      </c>
      <c r="D43" s="81">
        <v>5</v>
      </c>
      <c r="E43" s="81">
        <v>5</v>
      </c>
      <c r="F43" s="81">
        <v>5</v>
      </c>
      <c r="G43" s="81">
        <v>4</v>
      </c>
      <c r="H43" s="81">
        <v>5</v>
      </c>
      <c r="I43" s="81">
        <v>5</v>
      </c>
      <c r="J43" s="81">
        <v>5</v>
      </c>
      <c r="K43" s="81">
        <v>4</v>
      </c>
      <c r="L43" s="81">
        <v>5</v>
      </c>
      <c r="M43" s="81">
        <v>5</v>
      </c>
      <c r="N43" s="81">
        <v>5</v>
      </c>
      <c r="O43" s="81">
        <v>5</v>
      </c>
      <c r="P43" s="81">
        <v>5</v>
      </c>
      <c r="Q43" s="81">
        <v>4</v>
      </c>
      <c r="R43" s="81">
        <v>5</v>
      </c>
      <c r="S43" s="81">
        <v>5</v>
      </c>
      <c r="T43" s="81">
        <v>5</v>
      </c>
      <c r="U43" s="81">
        <v>5</v>
      </c>
      <c r="V43" s="11">
        <f t="shared" si="0"/>
        <v>97</v>
      </c>
    </row>
    <row r="44" spans="1:22" ht="15.75" customHeight="1">
      <c r="A44" s="12">
        <v>36</v>
      </c>
      <c r="B44" s="81">
        <v>5</v>
      </c>
      <c r="C44" s="81">
        <v>5</v>
      </c>
      <c r="D44" s="81">
        <v>4</v>
      </c>
      <c r="E44" s="81">
        <v>5</v>
      </c>
      <c r="F44" s="81">
        <v>5</v>
      </c>
      <c r="G44" s="81">
        <v>4</v>
      </c>
      <c r="H44" s="81">
        <v>5</v>
      </c>
      <c r="I44" s="81">
        <v>5</v>
      </c>
      <c r="J44" s="81">
        <v>5</v>
      </c>
      <c r="K44" s="81">
        <v>5</v>
      </c>
      <c r="L44" s="81">
        <v>5</v>
      </c>
      <c r="M44" s="81">
        <v>4</v>
      </c>
      <c r="N44" s="81">
        <v>4</v>
      </c>
      <c r="O44" s="81">
        <v>5</v>
      </c>
      <c r="P44" s="81">
        <v>4</v>
      </c>
      <c r="Q44" s="81">
        <v>5</v>
      </c>
      <c r="R44" s="81">
        <v>4</v>
      </c>
      <c r="S44" s="81">
        <v>5</v>
      </c>
      <c r="T44" s="81">
        <v>5</v>
      </c>
      <c r="U44" s="81">
        <v>5</v>
      </c>
      <c r="V44" s="11">
        <f t="shared" si="0"/>
        <v>94</v>
      </c>
    </row>
    <row r="45" spans="1:22" ht="15.75" customHeight="1">
      <c r="A45" s="12">
        <v>37</v>
      </c>
      <c r="B45" s="81">
        <v>5</v>
      </c>
      <c r="C45" s="81">
        <v>5</v>
      </c>
      <c r="D45" s="81">
        <v>5</v>
      </c>
      <c r="E45" s="81">
        <v>5</v>
      </c>
      <c r="F45" s="81">
        <v>5</v>
      </c>
      <c r="G45" s="81">
        <v>5</v>
      </c>
      <c r="H45" s="81">
        <v>5</v>
      </c>
      <c r="I45" s="81">
        <v>5</v>
      </c>
      <c r="J45" s="81">
        <v>5</v>
      </c>
      <c r="K45" s="81">
        <v>5</v>
      </c>
      <c r="L45" s="81">
        <v>5</v>
      </c>
      <c r="M45" s="81">
        <v>5</v>
      </c>
      <c r="N45" s="81">
        <v>5</v>
      </c>
      <c r="O45" s="81">
        <v>5</v>
      </c>
      <c r="P45" s="81">
        <v>5</v>
      </c>
      <c r="Q45" s="81">
        <v>5</v>
      </c>
      <c r="R45" s="81">
        <v>5</v>
      </c>
      <c r="S45" s="81">
        <v>5</v>
      </c>
      <c r="T45" s="81">
        <v>5</v>
      </c>
      <c r="U45" s="81">
        <v>5</v>
      </c>
      <c r="V45" s="11">
        <f t="shared" si="0"/>
        <v>100</v>
      </c>
    </row>
    <row r="46" spans="1:22" ht="15.75" customHeight="1">
      <c r="A46" s="12">
        <v>38</v>
      </c>
      <c r="B46" s="81">
        <v>5</v>
      </c>
      <c r="C46" s="81">
        <v>4</v>
      </c>
      <c r="D46" s="81">
        <v>5</v>
      </c>
      <c r="E46" s="81">
        <v>4</v>
      </c>
      <c r="F46" s="81">
        <v>5</v>
      </c>
      <c r="G46" s="81">
        <v>4</v>
      </c>
      <c r="H46" s="81">
        <v>4</v>
      </c>
      <c r="I46" s="81">
        <v>4</v>
      </c>
      <c r="J46" s="81">
        <v>5</v>
      </c>
      <c r="K46" s="81">
        <v>5</v>
      </c>
      <c r="L46" s="81">
        <v>5</v>
      </c>
      <c r="M46" s="81">
        <v>5</v>
      </c>
      <c r="N46" s="81">
        <v>5</v>
      </c>
      <c r="O46" s="81">
        <v>5</v>
      </c>
      <c r="P46" s="81">
        <v>5</v>
      </c>
      <c r="Q46" s="81">
        <v>4</v>
      </c>
      <c r="R46" s="81">
        <v>5</v>
      </c>
      <c r="S46" s="81">
        <v>5</v>
      </c>
      <c r="T46" s="81">
        <v>5</v>
      </c>
      <c r="U46" s="81">
        <v>5</v>
      </c>
      <c r="V46" s="11">
        <f t="shared" si="0"/>
        <v>94</v>
      </c>
    </row>
    <row r="47" spans="1:22" ht="15.75" customHeight="1">
      <c r="A47" s="12">
        <v>39</v>
      </c>
      <c r="B47" s="81">
        <v>4</v>
      </c>
      <c r="C47" s="81">
        <v>4</v>
      </c>
      <c r="D47" s="81">
        <v>5</v>
      </c>
      <c r="E47" s="81">
        <v>4</v>
      </c>
      <c r="F47" s="81">
        <v>4</v>
      </c>
      <c r="G47" s="81">
        <v>5</v>
      </c>
      <c r="H47" s="81">
        <v>4</v>
      </c>
      <c r="I47" s="81">
        <v>4</v>
      </c>
      <c r="J47" s="81">
        <v>5</v>
      </c>
      <c r="K47" s="81">
        <v>5</v>
      </c>
      <c r="L47" s="81">
        <v>5</v>
      </c>
      <c r="M47" s="81">
        <v>5</v>
      </c>
      <c r="N47" s="81">
        <v>4</v>
      </c>
      <c r="O47" s="81">
        <v>5</v>
      </c>
      <c r="P47" s="81">
        <v>4</v>
      </c>
      <c r="Q47" s="81">
        <v>3</v>
      </c>
      <c r="R47" s="81"/>
      <c r="S47" s="81">
        <v>5</v>
      </c>
      <c r="T47" s="81">
        <v>5</v>
      </c>
      <c r="U47" s="81">
        <v>4</v>
      </c>
      <c r="V47" s="11">
        <f t="shared" si="0"/>
        <v>84</v>
      </c>
    </row>
    <row r="48" spans="1:22" ht="15.75" customHeight="1">
      <c r="A48" s="12">
        <v>40</v>
      </c>
      <c r="B48" s="81">
        <v>5</v>
      </c>
      <c r="C48" s="81">
        <v>5</v>
      </c>
      <c r="D48" s="81">
        <v>5</v>
      </c>
      <c r="E48" s="81">
        <v>5</v>
      </c>
      <c r="F48" s="81">
        <v>4</v>
      </c>
      <c r="G48" s="81">
        <v>4</v>
      </c>
      <c r="H48" s="81">
        <v>5</v>
      </c>
      <c r="I48" s="81">
        <v>5</v>
      </c>
      <c r="J48" s="81">
        <v>5</v>
      </c>
      <c r="K48" s="81">
        <v>5</v>
      </c>
      <c r="L48" s="81">
        <v>5</v>
      </c>
      <c r="M48" s="81">
        <v>5</v>
      </c>
      <c r="N48" s="81">
        <v>5</v>
      </c>
      <c r="O48" s="81">
        <v>5</v>
      </c>
      <c r="P48" s="81">
        <v>4</v>
      </c>
      <c r="Q48" s="81">
        <v>5</v>
      </c>
      <c r="R48" s="81">
        <v>5</v>
      </c>
      <c r="S48" s="81">
        <v>5</v>
      </c>
      <c r="T48" s="81">
        <v>4</v>
      </c>
      <c r="U48" s="81">
        <v>4</v>
      </c>
      <c r="V48" s="11">
        <f t="shared" si="0"/>
        <v>95</v>
      </c>
    </row>
    <row r="49" spans="1:22" ht="15.75" customHeight="1">
      <c r="A49" s="12">
        <v>41</v>
      </c>
      <c r="B49" s="81">
        <v>5</v>
      </c>
      <c r="C49" s="81">
        <v>5</v>
      </c>
      <c r="D49" s="81">
        <v>5</v>
      </c>
      <c r="E49" s="81">
        <v>5</v>
      </c>
      <c r="F49" s="81">
        <v>5</v>
      </c>
      <c r="G49" s="81">
        <v>4</v>
      </c>
      <c r="H49" s="81">
        <v>5</v>
      </c>
      <c r="I49" s="81">
        <v>5</v>
      </c>
      <c r="J49" s="81">
        <v>5</v>
      </c>
      <c r="K49" s="81">
        <v>5</v>
      </c>
      <c r="L49" s="81">
        <v>5</v>
      </c>
      <c r="M49" s="81">
        <v>5</v>
      </c>
      <c r="N49" s="81">
        <v>5</v>
      </c>
      <c r="O49" s="81">
        <v>5</v>
      </c>
      <c r="P49" s="81">
        <v>5</v>
      </c>
      <c r="Q49" s="81">
        <v>5</v>
      </c>
      <c r="R49" s="81">
        <v>5</v>
      </c>
      <c r="S49" s="81">
        <v>5</v>
      </c>
      <c r="T49" s="81">
        <v>5</v>
      </c>
      <c r="U49" s="81">
        <v>5</v>
      </c>
      <c r="V49" s="11">
        <f t="shared" si="0"/>
        <v>99</v>
      </c>
    </row>
    <row r="50" spans="1:22" ht="15.75" customHeight="1">
      <c r="A50" s="12">
        <v>42</v>
      </c>
      <c r="B50" s="81">
        <v>5</v>
      </c>
      <c r="C50" s="81">
        <v>5</v>
      </c>
      <c r="D50" s="81">
        <v>5</v>
      </c>
      <c r="E50" s="81">
        <v>5</v>
      </c>
      <c r="F50" s="81">
        <v>5</v>
      </c>
      <c r="G50" s="81">
        <v>5</v>
      </c>
      <c r="H50" s="81">
        <v>5</v>
      </c>
      <c r="I50" s="81">
        <v>5</v>
      </c>
      <c r="J50" s="81">
        <v>5</v>
      </c>
      <c r="K50" s="81">
        <v>5</v>
      </c>
      <c r="L50" s="81">
        <v>5</v>
      </c>
      <c r="M50" s="81">
        <v>5</v>
      </c>
      <c r="N50" s="81">
        <v>5</v>
      </c>
      <c r="O50" s="81">
        <v>5</v>
      </c>
      <c r="P50" s="81">
        <v>5</v>
      </c>
      <c r="Q50" s="81">
        <v>5</v>
      </c>
      <c r="R50" s="81">
        <v>5</v>
      </c>
      <c r="S50" s="81">
        <v>5</v>
      </c>
      <c r="T50" s="81">
        <v>5</v>
      </c>
      <c r="U50" s="81">
        <v>5</v>
      </c>
      <c r="V50" s="11">
        <f t="shared" si="0"/>
        <v>100</v>
      </c>
    </row>
    <row r="51" spans="1:22" ht="15.75" customHeight="1">
      <c r="A51" s="12">
        <v>43</v>
      </c>
      <c r="B51" s="81">
        <v>4</v>
      </c>
      <c r="C51" s="81">
        <v>5</v>
      </c>
      <c r="D51" s="81">
        <v>5</v>
      </c>
      <c r="E51" s="81">
        <v>5</v>
      </c>
      <c r="F51" s="81">
        <v>5</v>
      </c>
      <c r="G51" s="81">
        <v>4</v>
      </c>
      <c r="H51" s="81">
        <v>5</v>
      </c>
      <c r="I51" s="81">
        <v>5</v>
      </c>
      <c r="J51" s="81">
        <v>3</v>
      </c>
      <c r="K51" s="81">
        <v>5</v>
      </c>
      <c r="L51" s="81">
        <v>5</v>
      </c>
      <c r="M51" s="81">
        <v>5</v>
      </c>
      <c r="N51" s="81">
        <v>5</v>
      </c>
      <c r="O51" s="81">
        <v>5</v>
      </c>
      <c r="P51" s="81">
        <v>5</v>
      </c>
      <c r="Q51" s="81">
        <v>5</v>
      </c>
      <c r="R51" s="81">
        <v>5</v>
      </c>
      <c r="S51" s="81">
        <v>5</v>
      </c>
      <c r="T51" s="81">
        <v>5</v>
      </c>
      <c r="U51" s="81">
        <v>4</v>
      </c>
      <c r="V51" s="11">
        <f t="shared" si="0"/>
        <v>95</v>
      </c>
    </row>
    <row r="52" spans="1:22" ht="15.75" customHeight="1">
      <c r="A52" s="12">
        <v>44</v>
      </c>
      <c r="B52" s="81">
        <v>5</v>
      </c>
      <c r="C52" s="81">
        <v>5</v>
      </c>
      <c r="D52" s="81">
        <v>5</v>
      </c>
      <c r="E52" s="81">
        <v>5</v>
      </c>
      <c r="F52" s="81">
        <v>5</v>
      </c>
      <c r="G52" s="81">
        <v>4</v>
      </c>
      <c r="H52" s="81">
        <v>5</v>
      </c>
      <c r="I52" s="81">
        <v>5</v>
      </c>
      <c r="J52" s="81">
        <v>5</v>
      </c>
      <c r="K52" s="81">
        <v>5</v>
      </c>
      <c r="L52" s="81">
        <v>5</v>
      </c>
      <c r="M52" s="81">
        <v>5</v>
      </c>
      <c r="N52" s="81">
        <v>5</v>
      </c>
      <c r="O52" s="81">
        <v>5</v>
      </c>
      <c r="P52" s="81">
        <v>5</v>
      </c>
      <c r="Q52" s="81">
        <v>4</v>
      </c>
      <c r="R52" s="81">
        <v>5</v>
      </c>
      <c r="S52" s="81">
        <v>4</v>
      </c>
      <c r="T52" s="81">
        <v>5</v>
      </c>
      <c r="U52" s="81">
        <v>4</v>
      </c>
      <c r="V52" s="11">
        <f t="shared" si="0"/>
        <v>96</v>
      </c>
    </row>
    <row r="53" spans="1:22" ht="15.75" customHeight="1">
      <c r="A53" s="12">
        <v>45</v>
      </c>
      <c r="B53" s="81">
        <v>5</v>
      </c>
      <c r="C53" s="81">
        <v>5</v>
      </c>
      <c r="D53" s="81">
        <v>5</v>
      </c>
      <c r="E53" s="81">
        <v>5</v>
      </c>
      <c r="F53" s="81">
        <v>5</v>
      </c>
      <c r="G53" s="81">
        <v>4</v>
      </c>
      <c r="H53" s="81">
        <v>5</v>
      </c>
      <c r="I53" s="81">
        <v>5</v>
      </c>
      <c r="J53" s="81">
        <v>4</v>
      </c>
      <c r="K53" s="81">
        <v>5</v>
      </c>
      <c r="L53" s="81">
        <v>5</v>
      </c>
      <c r="M53" s="81">
        <v>4</v>
      </c>
      <c r="N53" s="81">
        <v>1</v>
      </c>
      <c r="O53" s="81">
        <v>5</v>
      </c>
      <c r="P53" s="81">
        <v>5</v>
      </c>
      <c r="Q53" s="81">
        <v>5</v>
      </c>
      <c r="R53" s="81">
        <v>5</v>
      </c>
      <c r="S53" s="81">
        <v>5</v>
      </c>
      <c r="T53" s="81">
        <v>5</v>
      </c>
      <c r="U53" s="81">
        <v>4</v>
      </c>
      <c r="V53" s="11">
        <f t="shared" si="0"/>
        <v>92</v>
      </c>
    </row>
    <row r="54" spans="1:22" ht="15.75" customHeight="1">
      <c r="A54" s="12">
        <v>46</v>
      </c>
      <c r="B54" s="81">
        <v>4</v>
      </c>
      <c r="C54" s="81">
        <v>4</v>
      </c>
      <c r="D54" s="81">
        <v>4</v>
      </c>
      <c r="E54" s="81">
        <v>3</v>
      </c>
      <c r="F54" s="81">
        <v>4</v>
      </c>
      <c r="G54" s="81">
        <v>4</v>
      </c>
      <c r="H54" s="81">
        <v>4</v>
      </c>
      <c r="I54" s="81">
        <v>3</v>
      </c>
      <c r="J54" s="81">
        <v>3</v>
      </c>
      <c r="K54" s="81">
        <v>4</v>
      </c>
      <c r="L54" s="81">
        <v>2</v>
      </c>
      <c r="M54" s="81">
        <v>3</v>
      </c>
      <c r="N54" s="81">
        <v>4</v>
      </c>
      <c r="O54" s="81">
        <v>5</v>
      </c>
      <c r="P54" s="81">
        <v>5</v>
      </c>
      <c r="Q54" s="81">
        <v>5</v>
      </c>
      <c r="R54" s="81">
        <v>4</v>
      </c>
      <c r="S54" s="81">
        <v>5</v>
      </c>
      <c r="T54" s="81">
        <v>5</v>
      </c>
      <c r="U54" s="81">
        <v>4</v>
      </c>
      <c r="V54" s="11">
        <f t="shared" si="0"/>
        <v>79</v>
      </c>
    </row>
    <row r="55" spans="1:22" ht="15.75" customHeight="1">
      <c r="A55" s="12">
        <v>47</v>
      </c>
      <c r="B55" s="81">
        <v>5</v>
      </c>
      <c r="C55" s="81">
        <v>4</v>
      </c>
      <c r="D55" s="81">
        <v>5</v>
      </c>
      <c r="E55" s="81">
        <v>5</v>
      </c>
      <c r="F55" s="81">
        <v>5</v>
      </c>
      <c r="G55" s="81">
        <v>5</v>
      </c>
      <c r="H55" s="81">
        <v>5</v>
      </c>
      <c r="I55" s="81">
        <v>5</v>
      </c>
      <c r="J55" s="81">
        <v>4</v>
      </c>
      <c r="K55" s="81">
        <v>5</v>
      </c>
      <c r="L55" s="81">
        <v>5</v>
      </c>
      <c r="M55" s="81">
        <v>4</v>
      </c>
      <c r="N55" s="81">
        <v>4</v>
      </c>
      <c r="O55" s="81">
        <v>5</v>
      </c>
      <c r="P55" s="81">
        <v>5</v>
      </c>
      <c r="Q55" s="81">
        <v>5</v>
      </c>
      <c r="R55" s="81">
        <v>5</v>
      </c>
      <c r="S55" s="81">
        <v>4</v>
      </c>
      <c r="T55" s="81">
        <v>5</v>
      </c>
      <c r="U55" s="81">
        <v>5</v>
      </c>
      <c r="V55" s="11">
        <f t="shared" si="0"/>
        <v>95</v>
      </c>
    </row>
    <row r="56" spans="1:22" ht="15.75" customHeight="1">
      <c r="A56" s="12">
        <v>48</v>
      </c>
      <c r="B56" s="81">
        <v>3</v>
      </c>
      <c r="C56" s="81">
        <v>4</v>
      </c>
      <c r="D56" s="81">
        <v>4</v>
      </c>
      <c r="E56" s="81">
        <v>5</v>
      </c>
      <c r="F56" s="81">
        <v>4</v>
      </c>
      <c r="G56" s="81">
        <v>5</v>
      </c>
      <c r="H56" s="81">
        <v>4</v>
      </c>
      <c r="I56" s="81">
        <v>4</v>
      </c>
      <c r="J56" s="81">
        <v>4</v>
      </c>
      <c r="K56" s="81">
        <v>4</v>
      </c>
      <c r="L56" s="81">
        <v>4</v>
      </c>
      <c r="M56" s="81">
        <v>3</v>
      </c>
      <c r="N56" s="81">
        <v>3</v>
      </c>
      <c r="O56" s="81">
        <v>4</v>
      </c>
      <c r="P56" s="81">
        <v>3</v>
      </c>
      <c r="Q56" s="81">
        <v>4</v>
      </c>
      <c r="R56" s="81">
        <v>4</v>
      </c>
      <c r="S56" s="81">
        <v>3</v>
      </c>
      <c r="T56" s="81">
        <v>4</v>
      </c>
      <c r="U56" s="81">
        <v>3</v>
      </c>
      <c r="V56" s="11">
        <f t="shared" si="0"/>
        <v>76</v>
      </c>
    </row>
    <row r="57" spans="1:22" ht="15.75" customHeight="1">
      <c r="A57" s="12">
        <v>49</v>
      </c>
      <c r="B57" s="81">
        <v>5</v>
      </c>
      <c r="C57" s="81">
        <v>5</v>
      </c>
      <c r="D57" s="81">
        <v>5</v>
      </c>
      <c r="E57" s="81">
        <v>5</v>
      </c>
      <c r="F57" s="81">
        <v>5</v>
      </c>
      <c r="G57" s="81">
        <v>4</v>
      </c>
      <c r="H57" s="81">
        <v>5</v>
      </c>
      <c r="I57" s="81">
        <v>5</v>
      </c>
      <c r="J57" s="81">
        <v>5</v>
      </c>
      <c r="K57" s="81">
        <v>5</v>
      </c>
      <c r="L57" s="81">
        <v>5</v>
      </c>
      <c r="M57" s="81">
        <v>5</v>
      </c>
      <c r="N57" s="81">
        <v>5</v>
      </c>
      <c r="O57" s="81">
        <v>5</v>
      </c>
      <c r="P57" s="81">
        <v>5</v>
      </c>
      <c r="Q57" s="81">
        <v>5</v>
      </c>
      <c r="R57" s="81">
        <v>5</v>
      </c>
      <c r="S57" s="81">
        <v>5</v>
      </c>
      <c r="T57" s="81">
        <v>5</v>
      </c>
      <c r="U57" s="81">
        <v>5</v>
      </c>
      <c r="V57" s="11">
        <f t="shared" si="0"/>
        <v>99</v>
      </c>
    </row>
    <row r="58" spans="1:22" ht="15.75" customHeight="1">
      <c r="A58" s="12">
        <v>50</v>
      </c>
      <c r="B58" s="81">
        <v>3</v>
      </c>
      <c r="C58" s="81">
        <v>3</v>
      </c>
      <c r="D58" s="81">
        <v>3</v>
      </c>
      <c r="E58" s="81">
        <v>3</v>
      </c>
      <c r="F58" s="81">
        <v>4</v>
      </c>
      <c r="G58" s="81">
        <v>3</v>
      </c>
      <c r="H58" s="81">
        <v>4</v>
      </c>
      <c r="I58" s="81">
        <v>5</v>
      </c>
      <c r="J58" s="81">
        <v>4</v>
      </c>
      <c r="K58" s="81">
        <v>4</v>
      </c>
      <c r="L58" s="81">
        <v>4</v>
      </c>
      <c r="M58" s="81">
        <v>3</v>
      </c>
      <c r="N58" s="81">
        <v>4</v>
      </c>
      <c r="O58" s="81">
        <v>4</v>
      </c>
      <c r="P58" s="81">
        <v>3</v>
      </c>
      <c r="Q58" s="81">
        <v>3</v>
      </c>
      <c r="R58" s="81">
        <v>3</v>
      </c>
      <c r="S58" s="81">
        <v>2</v>
      </c>
      <c r="T58" s="81">
        <v>4</v>
      </c>
      <c r="U58" s="81">
        <v>4</v>
      </c>
      <c r="V58" s="11">
        <f t="shared" si="0"/>
        <v>70</v>
      </c>
    </row>
    <row r="59" spans="1:22" ht="15.75" customHeight="1">
      <c r="A59" s="12">
        <v>51</v>
      </c>
      <c r="B59" s="81">
        <v>5</v>
      </c>
      <c r="C59" s="81">
        <v>5</v>
      </c>
      <c r="D59" s="81">
        <v>5</v>
      </c>
      <c r="E59" s="81">
        <v>5</v>
      </c>
      <c r="F59" s="81">
        <v>5</v>
      </c>
      <c r="G59" s="81">
        <v>4</v>
      </c>
      <c r="H59" s="81">
        <v>5</v>
      </c>
      <c r="I59" s="81">
        <v>5</v>
      </c>
      <c r="J59" s="81">
        <v>5</v>
      </c>
      <c r="K59" s="81">
        <v>5</v>
      </c>
      <c r="L59" s="81">
        <v>5</v>
      </c>
      <c r="M59" s="81">
        <v>5</v>
      </c>
      <c r="N59" s="81">
        <v>5</v>
      </c>
      <c r="O59" s="81">
        <v>5</v>
      </c>
      <c r="P59" s="81">
        <v>5</v>
      </c>
      <c r="Q59" s="81">
        <v>5</v>
      </c>
      <c r="R59" s="81">
        <v>5</v>
      </c>
      <c r="S59" s="81">
        <v>5</v>
      </c>
      <c r="T59" s="81">
        <v>5</v>
      </c>
      <c r="U59" s="81">
        <v>5</v>
      </c>
      <c r="V59" s="11">
        <f t="shared" si="0"/>
        <v>99</v>
      </c>
    </row>
    <row r="60" spans="1:22" ht="15.75" customHeight="1">
      <c r="A60" s="12">
        <v>52</v>
      </c>
      <c r="B60" s="81">
        <v>3</v>
      </c>
      <c r="C60" s="81">
        <v>3</v>
      </c>
      <c r="D60" s="81">
        <v>3</v>
      </c>
      <c r="E60" s="81">
        <v>3</v>
      </c>
      <c r="F60" s="81">
        <v>3</v>
      </c>
      <c r="G60" s="81">
        <v>3</v>
      </c>
      <c r="H60" s="81">
        <v>3</v>
      </c>
      <c r="I60" s="81">
        <v>5</v>
      </c>
      <c r="J60" s="81">
        <v>3</v>
      </c>
      <c r="K60" s="81">
        <v>3</v>
      </c>
      <c r="L60" s="81">
        <v>3</v>
      </c>
      <c r="M60" s="81">
        <v>3</v>
      </c>
      <c r="N60" s="81">
        <v>3</v>
      </c>
      <c r="O60" s="81">
        <v>3</v>
      </c>
      <c r="P60" s="81">
        <v>3</v>
      </c>
      <c r="Q60" s="81">
        <v>3</v>
      </c>
      <c r="R60" s="81">
        <v>3</v>
      </c>
      <c r="S60" s="81">
        <v>3</v>
      </c>
      <c r="T60" s="81">
        <v>3</v>
      </c>
      <c r="U60" s="81">
        <v>3</v>
      </c>
      <c r="V60" s="11">
        <f t="shared" si="0"/>
        <v>62</v>
      </c>
    </row>
    <row r="61" spans="1:22" ht="15.75" customHeight="1">
      <c r="A61" s="12">
        <v>53</v>
      </c>
      <c r="B61" s="81">
        <v>5</v>
      </c>
      <c r="C61" s="81">
        <v>5</v>
      </c>
      <c r="D61" s="81">
        <v>5</v>
      </c>
      <c r="E61" s="81">
        <v>5</v>
      </c>
      <c r="F61" s="81">
        <v>5</v>
      </c>
      <c r="G61" s="81">
        <v>4</v>
      </c>
      <c r="H61" s="81">
        <v>4</v>
      </c>
      <c r="I61" s="81">
        <v>5</v>
      </c>
      <c r="J61" s="81">
        <v>5</v>
      </c>
      <c r="K61" s="81">
        <v>5</v>
      </c>
      <c r="L61" s="81">
        <v>5</v>
      </c>
      <c r="M61" s="81">
        <v>5</v>
      </c>
      <c r="N61" s="81">
        <v>4</v>
      </c>
      <c r="O61" s="81">
        <v>5</v>
      </c>
      <c r="P61" s="81">
        <v>4</v>
      </c>
      <c r="Q61" s="81">
        <v>5</v>
      </c>
      <c r="R61" s="81">
        <v>4</v>
      </c>
      <c r="S61" s="81">
        <v>4</v>
      </c>
      <c r="T61" s="81">
        <v>5</v>
      </c>
      <c r="U61" s="81">
        <v>5</v>
      </c>
      <c r="V61" s="11">
        <f t="shared" si="0"/>
        <v>94</v>
      </c>
    </row>
    <row r="62" spans="1:22" ht="15.75" customHeight="1">
      <c r="A62" s="12">
        <v>54</v>
      </c>
      <c r="B62" s="81">
        <v>3</v>
      </c>
      <c r="C62" s="81">
        <v>2</v>
      </c>
      <c r="D62" s="81">
        <v>4</v>
      </c>
      <c r="E62" s="81">
        <v>3</v>
      </c>
      <c r="F62" s="81">
        <v>2</v>
      </c>
      <c r="G62" s="81">
        <v>3</v>
      </c>
      <c r="H62" s="81">
        <v>4</v>
      </c>
      <c r="I62" s="81">
        <v>4</v>
      </c>
      <c r="J62" s="81">
        <v>4</v>
      </c>
      <c r="K62" s="81">
        <v>3</v>
      </c>
      <c r="L62" s="81">
        <v>4</v>
      </c>
      <c r="M62" s="81">
        <v>4</v>
      </c>
      <c r="N62" s="81">
        <v>3</v>
      </c>
      <c r="O62" s="81">
        <v>2</v>
      </c>
      <c r="P62" s="81">
        <v>3</v>
      </c>
      <c r="Q62" s="81">
        <v>3</v>
      </c>
      <c r="R62" s="81">
        <v>4</v>
      </c>
      <c r="S62" s="81">
        <v>2</v>
      </c>
      <c r="T62" s="81">
        <v>3</v>
      </c>
      <c r="U62" s="81">
        <v>4</v>
      </c>
      <c r="V62" s="11">
        <f t="shared" si="0"/>
        <v>64</v>
      </c>
    </row>
    <row r="63" spans="1:22" ht="15.75" customHeight="1">
      <c r="A63" s="12">
        <v>55</v>
      </c>
      <c r="B63" s="81">
        <v>5</v>
      </c>
      <c r="C63" s="81">
        <v>5</v>
      </c>
      <c r="D63" s="81">
        <v>5</v>
      </c>
      <c r="E63" s="81">
        <v>5</v>
      </c>
      <c r="F63" s="81">
        <v>5</v>
      </c>
      <c r="G63" s="81">
        <v>4</v>
      </c>
      <c r="H63" s="81">
        <v>5</v>
      </c>
      <c r="I63" s="81">
        <v>5</v>
      </c>
      <c r="J63" s="81">
        <v>5</v>
      </c>
      <c r="K63" s="81">
        <v>4</v>
      </c>
      <c r="L63" s="81">
        <v>5</v>
      </c>
      <c r="M63" s="81">
        <v>5</v>
      </c>
      <c r="N63" s="81">
        <v>5</v>
      </c>
      <c r="O63" s="81">
        <v>5</v>
      </c>
      <c r="P63" s="81">
        <v>5</v>
      </c>
      <c r="Q63" s="81">
        <v>4</v>
      </c>
      <c r="R63" s="81">
        <v>5</v>
      </c>
      <c r="S63" s="81">
        <v>5</v>
      </c>
      <c r="T63" s="81">
        <v>5</v>
      </c>
      <c r="U63" s="81">
        <v>5</v>
      </c>
      <c r="V63" s="11">
        <f t="shared" si="0"/>
        <v>97</v>
      </c>
    </row>
    <row r="64" spans="1:22" ht="15.75" customHeight="1">
      <c r="A64" s="12">
        <v>56</v>
      </c>
      <c r="B64" s="81">
        <v>5</v>
      </c>
      <c r="C64" s="81">
        <v>5</v>
      </c>
      <c r="D64" s="81">
        <v>4</v>
      </c>
      <c r="E64" s="81">
        <v>5</v>
      </c>
      <c r="F64" s="81">
        <v>5</v>
      </c>
      <c r="G64" s="81">
        <v>4</v>
      </c>
      <c r="H64" s="81">
        <v>5</v>
      </c>
      <c r="I64" s="81">
        <v>5</v>
      </c>
      <c r="J64" s="81">
        <v>5</v>
      </c>
      <c r="K64" s="81">
        <v>5</v>
      </c>
      <c r="L64" s="81">
        <v>5</v>
      </c>
      <c r="M64" s="81">
        <v>4</v>
      </c>
      <c r="N64" s="81">
        <v>4</v>
      </c>
      <c r="O64" s="81">
        <v>5</v>
      </c>
      <c r="P64" s="81">
        <v>4</v>
      </c>
      <c r="Q64" s="81">
        <v>5</v>
      </c>
      <c r="R64" s="81">
        <v>4</v>
      </c>
      <c r="S64" s="81">
        <v>5</v>
      </c>
      <c r="T64" s="81">
        <v>5</v>
      </c>
      <c r="U64" s="81">
        <v>5</v>
      </c>
      <c r="V64" s="11">
        <f t="shared" si="0"/>
        <v>94</v>
      </c>
    </row>
    <row r="65" spans="1:22" ht="15.75" customHeight="1">
      <c r="A65" s="12">
        <v>57</v>
      </c>
      <c r="B65" s="81">
        <v>5</v>
      </c>
      <c r="C65" s="81">
        <v>5</v>
      </c>
      <c r="D65" s="81">
        <v>5</v>
      </c>
      <c r="E65" s="81">
        <v>5</v>
      </c>
      <c r="F65" s="81">
        <v>5</v>
      </c>
      <c r="G65" s="81">
        <v>5</v>
      </c>
      <c r="H65" s="81">
        <v>5</v>
      </c>
      <c r="I65" s="81">
        <v>5</v>
      </c>
      <c r="J65" s="81">
        <v>5</v>
      </c>
      <c r="K65" s="81">
        <v>5</v>
      </c>
      <c r="L65" s="81">
        <v>5</v>
      </c>
      <c r="M65" s="81">
        <v>5</v>
      </c>
      <c r="N65" s="81">
        <v>5</v>
      </c>
      <c r="O65" s="81">
        <v>5</v>
      </c>
      <c r="P65" s="81">
        <v>5</v>
      </c>
      <c r="Q65" s="81">
        <v>5</v>
      </c>
      <c r="R65" s="81">
        <v>5</v>
      </c>
      <c r="S65" s="81">
        <v>5</v>
      </c>
      <c r="T65" s="81">
        <v>5</v>
      </c>
      <c r="U65" s="81">
        <v>5</v>
      </c>
      <c r="V65" s="11">
        <f t="shared" si="0"/>
        <v>100</v>
      </c>
    </row>
    <row r="66" spans="1:22" ht="15.75" customHeight="1">
      <c r="A66" s="12">
        <v>58</v>
      </c>
      <c r="B66" s="81">
        <v>5</v>
      </c>
      <c r="C66" s="81">
        <v>5</v>
      </c>
      <c r="D66" s="81">
        <v>5</v>
      </c>
      <c r="E66" s="81">
        <v>5</v>
      </c>
      <c r="F66" s="81">
        <v>5</v>
      </c>
      <c r="G66" s="81">
        <v>4</v>
      </c>
      <c r="H66" s="81">
        <v>5</v>
      </c>
      <c r="I66" s="81">
        <v>5</v>
      </c>
      <c r="J66" s="81">
        <v>5</v>
      </c>
      <c r="K66" s="81">
        <v>5</v>
      </c>
      <c r="L66" s="81">
        <v>5</v>
      </c>
      <c r="M66" s="81">
        <v>5</v>
      </c>
      <c r="N66" s="81">
        <v>5</v>
      </c>
      <c r="O66" s="81">
        <v>5</v>
      </c>
      <c r="P66" s="81">
        <v>5</v>
      </c>
      <c r="Q66" s="81">
        <v>5</v>
      </c>
      <c r="R66" s="81">
        <v>5</v>
      </c>
      <c r="S66" s="81">
        <v>5</v>
      </c>
      <c r="T66" s="81">
        <v>5</v>
      </c>
      <c r="U66" s="81">
        <v>5</v>
      </c>
      <c r="V66" s="11">
        <f t="shared" si="0"/>
        <v>99</v>
      </c>
    </row>
    <row r="67" spans="1:22" ht="15.75" customHeight="1">
      <c r="A67" s="12">
        <v>59</v>
      </c>
      <c r="B67" s="81">
        <v>5</v>
      </c>
      <c r="C67" s="81">
        <v>4</v>
      </c>
      <c r="D67" s="81">
        <v>5</v>
      </c>
      <c r="E67" s="81">
        <v>4</v>
      </c>
      <c r="F67" s="81">
        <v>5</v>
      </c>
      <c r="G67" s="81">
        <v>4</v>
      </c>
      <c r="H67" s="81">
        <v>4</v>
      </c>
      <c r="I67" s="81">
        <v>4</v>
      </c>
      <c r="J67" s="81">
        <v>5</v>
      </c>
      <c r="K67" s="81">
        <v>5</v>
      </c>
      <c r="L67" s="81">
        <v>5</v>
      </c>
      <c r="M67" s="81">
        <v>5</v>
      </c>
      <c r="N67" s="81">
        <v>5</v>
      </c>
      <c r="O67" s="81">
        <v>5</v>
      </c>
      <c r="P67" s="81">
        <v>5</v>
      </c>
      <c r="Q67" s="81">
        <v>4</v>
      </c>
      <c r="R67" s="81">
        <v>5</v>
      </c>
      <c r="S67" s="81">
        <v>5</v>
      </c>
      <c r="T67" s="81">
        <v>5</v>
      </c>
      <c r="U67" s="81">
        <v>5</v>
      </c>
      <c r="V67" s="11">
        <f t="shared" si="0"/>
        <v>94</v>
      </c>
    </row>
    <row r="68" spans="1:22">
      <c r="A68" s="82"/>
      <c r="B68" s="83">
        <f>AVERAGE(B9:B67)</f>
        <v>4.4406779661016902</v>
      </c>
      <c r="C68" s="83">
        <f t="shared" ref="C68:U68" si="1">AVERAGE(C9:C67)</f>
        <v>4.4406779661016902</v>
      </c>
      <c r="D68" s="84">
        <f t="shared" si="1"/>
        <v>4.4915254237288096</v>
      </c>
      <c r="E68" s="84">
        <f t="shared" si="1"/>
        <v>4.4576271186440701</v>
      </c>
      <c r="F68" s="20">
        <f t="shared" si="1"/>
        <v>4.5084745762711904</v>
      </c>
      <c r="G68" s="84">
        <f t="shared" si="1"/>
        <v>3.9491525423728802</v>
      </c>
      <c r="H68" s="84">
        <f t="shared" si="1"/>
        <v>4.57627118644068</v>
      </c>
      <c r="I68" s="84">
        <f t="shared" si="1"/>
        <v>4.5932203389830502</v>
      </c>
      <c r="J68" s="84">
        <f t="shared" si="1"/>
        <v>4.4745762711864403</v>
      </c>
      <c r="K68" s="84">
        <f t="shared" si="1"/>
        <v>4.5689655172413799</v>
      </c>
      <c r="L68" s="84">
        <f t="shared" si="1"/>
        <v>4.5593220338983098</v>
      </c>
      <c r="M68" s="84">
        <f t="shared" si="1"/>
        <v>4.4067796610169498</v>
      </c>
      <c r="N68" s="84">
        <f t="shared" si="1"/>
        <v>4.2931034482758603</v>
      </c>
      <c r="O68" s="84">
        <f t="shared" si="1"/>
        <v>4.5932203389830502</v>
      </c>
      <c r="P68" s="84">
        <f t="shared" si="1"/>
        <v>4.42372881355932</v>
      </c>
      <c r="Q68" s="84">
        <f t="shared" si="1"/>
        <v>4.4827586206896504</v>
      </c>
      <c r="R68" s="84">
        <f t="shared" si="1"/>
        <v>4.5344827586206904</v>
      </c>
      <c r="S68" s="84">
        <f t="shared" si="1"/>
        <v>4.3898305084745797</v>
      </c>
      <c r="T68" s="84">
        <f t="shared" si="1"/>
        <v>4.5932203389830502</v>
      </c>
      <c r="U68" s="84">
        <f t="shared" si="1"/>
        <v>4.4915254237288096</v>
      </c>
      <c r="V68" s="95" t="s">
        <v>7</v>
      </c>
    </row>
    <row r="69" spans="1:22">
      <c r="A69" s="94" t="s">
        <v>8</v>
      </c>
      <c r="B69" s="20">
        <v>1.1000000000000001</v>
      </c>
      <c r="C69" s="20">
        <v>1.2</v>
      </c>
      <c r="D69" s="20">
        <v>1.3</v>
      </c>
      <c r="E69" s="20">
        <v>1.4</v>
      </c>
      <c r="F69" s="20">
        <v>1.5</v>
      </c>
      <c r="G69" s="20">
        <v>2.1</v>
      </c>
      <c r="H69" s="20">
        <v>2.2000000000000002</v>
      </c>
      <c r="I69" s="20">
        <v>2.2999999999999998</v>
      </c>
      <c r="J69" s="20">
        <v>2.4</v>
      </c>
      <c r="K69" s="20">
        <v>2.5</v>
      </c>
      <c r="L69" s="20">
        <v>3.1</v>
      </c>
      <c r="M69" s="20">
        <v>3.2</v>
      </c>
      <c r="N69" s="20">
        <v>3.3</v>
      </c>
      <c r="O69" s="20">
        <v>3.4</v>
      </c>
      <c r="P69" s="20">
        <v>3.5</v>
      </c>
      <c r="Q69" s="20">
        <v>4.0999999999999996</v>
      </c>
      <c r="R69" s="20">
        <v>4.2</v>
      </c>
      <c r="S69" s="20">
        <v>4.3</v>
      </c>
      <c r="T69" s="20">
        <v>4.4000000000000004</v>
      </c>
      <c r="U69" s="20">
        <v>4.5</v>
      </c>
      <c r="V69" s="95"/>
    </row>
    <row r="70" spans="1:22">
      <c r="A70" s="94"/>
      <c r="B70" s="89" t="s">
        <v>9</v>
      </c>
      <c r="C70" s="89"/>
      <c r="D70" s="89"/>
      <c r="E70" s="89"/>
      <c r="F70" s="89"/>
      <c r="G70" s="90" t="s">
        <v>10</v>
      </c>
      <c r="H70" s="90"/>
      <c r="I70" s="90"/>
      <c r="J70" s="90"/>
      <c r="K70" s="90"/>
      <c r="L70" s="90" t="s">
        <v>11</v>
      </c>
      <c r="M70" s="90"/>
      <c r="N70" s="90"/>
      <c r="O70" s="90"/>
      <c r="P70" s="90"/>
      <c r="Q70" s="90" t="s">
        <v>12</v>
      </c>
      <c r="R70" s="90"/>
      <c r="S70" s="90"/>
      <c r="T70" s="90"/>
      <c r="U70" s="90"/>
      <c r="V70" s="95"/>
    </row>
    <row r="71" spans="1:22" ht="15.75">
      <c r="A71" s="94"/>
      <c r="B71" s="85">
        <v>4.4400000000000004</v>
      </c>
      <c r="C71" s="85">
        <v>4.4400000000000004</v>
      </c>
      <c r="D71" s="84">
        <v>4.49</v>
      </c>
      <c r="E71" s="84">
        <v>4.46</v>
      </c>
      <c r="F71" s="84">
        <v>4.5</v>
      </c>
      <c r="G71" s="84">
        <v>3.95</v>
      </c>
      <c r="H71" s="84">
        <v>4.58</v>
      </c>
      <c r="I71" s="84">
        <v>4.59</v>
      </c>
      <c r="J71" s="84">
        <v>4.47</v>
      </c>
      <c r="K71" s="84">
        <v>4.57</v>
      </c>
      <c r="L71" s="84">
        <v>4.5599999999999996</v>
      </c>
      <c r="M71" s="84">
        <v>4.41</v>
      </c>
      <c r="N71" s="84">
        <v>4.29</v>
      </c>
      <c r="O71" s="84">
        <v>4.59</v>
      </c>
      <c r="P71" s="84">
        <v>4.42</v>
      </c>
      <c r="Q71" s="84">
        <v>4.4800000000000004</v>
      </c>
      <c r="R71" s="84">
        <v>4.53</v>
      </c>
      <c r="S71" s="84">
        <v>4.3899999999999997</v>
      </c>
      <c r="T71" s="84">
        <v>4.59</v>
      </c>
      <c r="U71" s="84">
        <v>4.49</v>
      </c>
      <c r="V71" s="22">
        <f>AVERAGE(B71:U71)</f>
        <v>4.4619999999999997</v>
      </c>
    </row>
    <row r="72" spans="1:2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2"/>
    </row>
    <row r="73" spans="1:22" ht="33" customHeight="1">
      <c r="A73" s="23" t="s">
        <v>13</v>
      </c>
      <c r="B73" s="24">
        <v>1.1000000000000001</v>
      </c>
      <c r="C73" s="24">
        <v>1.2</v>
      </c>
      <c r="D73" s="24">
        <v>1.3</v>
      </c>
      <c r="E73" s="24">
        <v>1.4</v>
      </c>
      <c r="F73" s="24">
        <v>1.5</v>
      </c>
      <c r="G73" s="24">
        <v>2.1</v>
      </c>
      <c r="H73" s="24">
        <v>2.2000000000000002</v>
      </c>
      <c r="I73" s="24">
        <v>2.2999999999999998</v>
      </c>
      <c r="J73" s="24">
        <v>2.4</v>
      </c>
      <c r="K73" s="24">
        <v>2.5</v>
      </c>
      <c r="L73" s="24">
        <v>3.1</v>
      </c>
      <c r="M73" s="24">
        <v>3.2</v>
      </c>
      <c r="N73" s="24">
        <v>3.3</v>
      </c>
      <c r="O73" s="24">
        <v>3.4</v>
      </c>
      <c r="P73" s="24">
        <v>3.5</v>
      </c>
      <c r="Q73" s="24">
        <v>4.0999999999999996</v>
      </c>
      <c r="R73" s="24">
        <v>4.2</v>
      </c>
      <c r="S73" s="24">
        <v>4.3</v>
      </c>
      <c r="T73" s="24">
        <v>4.4000000000000004</v>
      </c>
      <c r="U73" s="24">
        <v>4.5</v>
      </c>
      <c r="V73" s="24" t="s">
        <v>6</v>
      </c>
    </row>
    <row r="74" spans="1:22" ht="17.25" customHeight="1">
      <c r="A74" s="20">
        <v>5</v>
      </c>
      <c r="B74" s="25">
        <f>COUNTIF(B9:B67,5)</f>
        <v>37</v>
      </c>
      <c r="C74" s="25">
        <f>COUNTIF(C9:C67,5)</f>
        <v>36</v>
      </c>
      <c r="D74" s="25">
        <f>COUNTIF(D9:D67,5)</f>
        <v>38</v>
      </c>
      <c r="E74" s="25">
        <f>COUNTIF(E9:E67,5)</f>
        <v>40</v>
      </c>
      <c r="F74" s="25">
        <f>COUNTIF(F9:F67,5)</f>
        <v>39</v>
      </c>
      <c r="G74" s="25">
        <f t="shared" ref="G74:U74" si="2">COUNTIF(G9:G67,5)</f>
        <v>11</v>
      </c>
      <c r="H74" s="25">
        <f t="shared" si="2"/>
        <v>38</v>
      </c>
      <c r="I74" s="25">
        <f t="shared" si="2"/>
        <v>41</v>
      </c>
      <c r="J74" s="25">
        <f t="shared" si="2"/>
        <v>37</v>
      </c>
      <c r="K74" s="25">
        <f t="shared" si="2"/>
        <v>40</v>
      </c>
      <c r="L74" s="25">
        <f t="shared" si="2"/>
        <v>43</v>
      </c>
      <c r="M74" s="25">
        <f t="shared" si="2"/>
        <v>37</v>
      </c>
      <c r="N74" s="25">
        <f t="shared" si="2"/>
        <v>31</v>
      </c>
      <c r="O74" s="25">
        <f t="shared" si="2"/>
        <v>45</v>
      </c>
      <c r="P74" s="25">
        <f t="shared" si="2"/>
        <v>37</v>
      </c>
      <c r="Q74" s="25">
        <f t="shared" si="2"/>
        <v>37</v>
      </c>
      <c r="R74" s="25">
        <f t="shared" si="2"/>
        <v>38</v>
      </c>
      <c r="S74" s="25">
        <f t="shared" si="2"/>
        <v>38</v>
      </c>
      <c r="T74" s="25">
        <f t="shared" si="2"/>
        <v>43</v>
      </c>
      <c r="U74" s="25">
        <f t="shared" si="2"/>
        <v>35</v>
      </c>
      <c r="V74" s="25">
        <f>SUM(B74:U74)</f>
        <v>741</v>
      </c>
    </row>
    <row r="75" spans="1:22" ht="17.25" customHeight="1">
      <c r="A75" s="20">
        <v>4</v>
      </c>
      <c r="B75" s="25">
        <f>COUNTIF(B9:B67,4)</f>
        <v>11</v>
      </c>
      <c r="C75" s="25">
        <f>COUNTIF(C9:C67,4)</f>
        <v>15</v>
      </c>
      <c r="D75" s="25">
        <f>COUNTIF(D9:D67,4)</f>
        <v>13</v>
      </c>
      <c r="E75" s="25">
        <f>COUNTIF(E9:E67,4)</f>
        <v>7</v>
      </c>
      <c r="F75" s="25">
        <f>COUNTIF(F9:F67,4)</f>
        <v>13</v>
      </c>
      <c r="G75" s="25">
        <f t="shared" ref="G75:U75" si="3">COUNTIF(G9:G67,4)</f>
        <v>36</v>
      </c>
      <c r="H75" s="25">
        <f t="shared" si="3"/>
        <v>17</v>
      </c>
      <c r="I75" s="25">
        <f t="shared" si="3"/>
        <v>12</v>
      </c>
      <c r="J75" s="25">
        <f t="shared" si="3"/>
        <v>13</v>
      </c>
      <c r="K75" s="25">
        <f t="shared" si="3"/>
        <v>11</v>
      </c>
      <c r="L75" s="25">
        <f t="shared" si="3"/>
        <v>9</v>
      </c>
      <c r="M75" s="25">
        <f t="shared" si="3"/>
        <v>10</v>
      </c>
      <c r="N75" s="25">
        <f t="shared" si="3"/>
        <v>17</v>
      </c>
      <c r="O75" s="25">
        <f t="shared" si="3"/>
        <v>6</v>
      </c>
      <c r="P75" s="25">
        <f t="shared" si="3"/>
        <v>10</v>
      </c>
      <c r="Q75" s="25">
        <f t="shared" si="3"/>
        <v>12</v>
      </c>
      <c r="R75" s="25">
        <f t="shared" si="3"/>
        <v>13</v>
      </c>
      <c r="S75" s="25">
        <f t="shared" si="3"/>
        <v>10</v>
      </c>
      <c r="T75" s="25">
        <f t="shared" si="3"/>
        <v>9</v>
      </c>
      <c r="U75" s="25">
        <f t="shared" si="3"/>
        <v>18</v>
      </c>
      <c r="V75" s="25">
        <f>SUM(B75:U75)</f>
        <v>262</v>
      </c>
    </row>
    <row r="76" spans="1:22" ht="17.25" customHeight="1">
      <c r="A76" s="20">
        <v>3</v>
      </c>
      <c r="B76" s="25">
        <f>COUNTIF(B9:B67,3)</f>
        <v>11</v>
      </c>
      <c r="C76" s="25">
        <f>COUNTIF(C9:C67,3)</f>
        <v>6</v>
      </c>
      <c r="D76" s="25">
        <f>COUNTIF(D9:D67,3)</f>
        <v>7</v>
      </c>
      <c r="E76" s="25">
        <f>COUNTIF(E9:E67,3)</f>
        <v>11</v>
      </c>
      <c r="F76" s="25">
        <f t="shared" ref="F76:U76" si="4">COUNTIF(F9:F67,3)</f>
        <v>5</v>
      </c>
      <c r="G76" s="25">
        <f t="shared" si="4"/>
        <v>10</v>
      </c>
      <c r="H76" s="25">
        <f t="shared" si="4"/>
        <v>4</v>
      </c>
      <c r="I76" s="25">
        <f t="shared" si="4"/>
        <v>6</v>
      </c>
      <c r="J76" s="25">
        <f t="shared" si="4"/>
        <v>9</v>
      </c>
      <c r="K76" s="25">
        <f t="shared" si="4"/>
        <v>7</v>
      </c>
      <c r="L76" s="25">
        <f t="shared" si="4"/>
        <v>4</v>
      </c>
      <c r="M76" s="25">
        <f t="shared" si="4"/>
        <v>11</v>
      </c>
      <c r="N76" s="25">
        <f t="shared" si="4"/>
        <v>8</v>
      </c>
      <c r="O76" s="25">
        <f t="shared" si="4"/>
        <v>6</v>
      </c>
      <c r="P76" s="25">
        <f t="shared" si="4"/>
        <v>12</v>
      </c>
      <c r="Q76" s="25">
        <f t="shared" si="4"/>
        <v>9</v>
      </c>
      <c r="R76" s="25">
        <f t="shared" si="4"/>
        <v>7</v>
      </c>
      <c r="S76" s="25">
        <f t="shared" si="4"/>
        <v>7</v>
      </c>
      <c r="T76" s="25">
        <f t="shared" si="4"/>
        <v>6</v>
      </c>
      <c r="U76" s="25">
        <f t="shared" si="4"/>
        <v>6</v>
      </c>
      <c r="V76" s="25">
        <f>SUM(B76:U76)</f>
        <v>152</v>
      </c>
    </row>
    <row r="77" spans="1:22" ht="17.25" customHeight="1">
      <c r="A77" s="20">
        <v>2</v>
      </c>
      <c r="B77" s="25">
        <f>COUNTIF(B9:B67,2)</f>
        <v>0</v>
      </c>
      <c r="C77" s="25">
        <f>COUNTIF(C9:C67,2)</f>
        <v>2</v>
      </c>
      <c r="D77" s="25">
        <f>COUNTIF(D9:D67,2)</f>
        <v>1</v>
      </c>
      <c r="E77" s="25">
        <f>COUNTIF(E9:E67,2)</f>
        <v>1</v>
      </c>
      <c r="F77" s="25">
        <f t="shared" ref="F77:U77" si="5">COUNTIF(F9:F67,2)</f>
        <v>2</v>
      </c>
      <c r="G77" s="25">
        <f t="shared" si="5"/>
        <v>2</v>
      </c>
      <c r="H77" s="25">
        <f t="shared" si="5"/>
        <v>0</v>
      </c>
      <c r="I77" s="25">
        <f t="shared" si="5"/>
        <v>0</v>
      </c>
      <c r="J77" s="25">
        <f t="shared" si="5"/>
        <v>0</v>
      </c>
      <c r="K77" s="25">
        <f t="shared" si="5"/>
        <v>0</v>
      </c>
      <c r="L77" s="25">
        <f t="shared" si="5"/>
        <v>3</v>
      </c>
      <c r="M77" s="25">
        <f t="shared" si="5"/>
        <v>1</v>
      </c>
      <c r="N77" s="25">
        <f t="shared" si="5"/>
        <v>0</v>
      </c>
      <c r="O77" s="25">
        <f t="shared" si="5"/>
        <v>2</v>
      </c>
      <c r="P77" s="25">
        <f t="shared" si="5"/>
        <v>0</v>
      </c>
      <c r="Q77" s="25">
        <f t="shared" si="5"/>
        <v>0</v>
      </c>
      <c r="R77" s="25">
        <f t="shared" si="5"/>
        <v>0</v>
      </c>
      <c r="S77" s="25">
        <f t="shared" si="5"/>
        <v>4</v>
      </c>
      <c r="T77" s="25">
        <f t="shared" si="5"/>
        <v>1</v>
      </c>
      <c r="U77" s="25">
        <f t="shared" si="5"/>
        <v>0</v>
      </c>
      <c r="V77" s="25">
        <f>SUM(B77:U77)</f>
        <v>19</v>
      </c>
    </row>
    <row r="78" spans="1:22" ht="17.25" customHeight="1">
      <c r="A78" s="20">
        <v>1</v>
      </c>
      <c r="B78" s="25">
        <f>COUNTIF(B9:B67,1)</f>
        <v>0</v>
      </c>
      <c r="C78" s="25">
        <f>COUNTIF(C9:C67,1)</f>
        <v>0</v>
      </c>
      <c r="D78" s="25">
        <f>COUNTIF(D9:D67,1)</f>
        <v>0</v>
      </c>
      <c r="E78" s="25">
        <f>COUNTIF(E9:E67,1)</f>
        <v>0</v>
      </c>
      <c r="F78" s="25">
        <f t="shared" ref="F78:U78" si="6">COUNTIF(F9:F67,1)</f>
        <v>0</v>
      </c>
      <c r="G78" s="25">
        <f t="shared" si="6"/>
        <v>0</v>
      </c>
      <c r="H78" s="25">
        <f t="shared" si="6"/>
        <v>0</v>
      </c>
      <c r="I78" s="25">
        <f t="shared" si="6"/>
        <v>0</v>
      </c>
      <c r="J78" s="25">
        <f t="shared" si="6"/>
        <v>0</v>
      </c>
      <c r="K78" s="25">
        <f t="shared" si="6"/>
        <v>0</v>
      </c>
      <c r="L78" s="25">
        <f t="shared" si="6"/>
        <v>0</v>
      </c>
      <c r="M78" s="25">
        <f t="shared" si="6"/>
        <v>0</v>
      </c>
      <c r="N78" s="25">
        <f t="shared" si="6"/>
        <v>2</v>
      </c>
      <c r="O78" s="25">
        <f t="shared" si="6"/>
        <v>0</v>
      </c>
      <c r="P78" s="25">
        <f t="shared" si="6"/>
        <v>0</v>
      </c>
      <c r="Q78" s="25">
        <f t="shared" si="6"/>
        <v>0</v>
      </c>
      <c r="R78" s="25">
        <f t="shared" si="6"/>
        <v>0</v>
      </c>
      <c r="S78" s="25">
        <f t="shared" si="6"/>
        <v>0</v>
      </c>
      <c r="T78" s="25">
        <f t="shared" si="6"/>
        <v>0</v>
      </c>
      <c r="U78" s="25">
        <f t="shared" si="6"/>
        <v>0</v>
      </c>
      <c r="V78" s="25">
        <f>SUM(B78:U78)</f>
        <v>2</v>
      </c>
    </row>
    <row r="79" spans="1:22" ht="15.75">
      <c r="A79" s="26"/>
      <c r="B79" s="26"/>
      <c r="C79" s="26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27"/>
    </row>
    <row r="80" spans="1:22" s="28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27" customHeight="1">
      <c r="A81" s="93" t="s">
        <v>9</v>
      </c>
      <c r="B81" s="93"/>
      <c r="C81" s="93"/>
      <c r="D81" s="85">
        <v>4.4400000000000004</v>
      </c>
      <c r="E81" s="85">
        <v>4.4400000000000004</v>
      </c>
      <c r="F81" s="84">
        <v>4.49</v>
      </c>
      <c r="G81" s="84">
        <v>4.46</v>
      </c>
      <c r="H81" s="84">
        <v>4.5</v>
      </c>
    </row>
    <row r="82" spans="1:22" ht="28.5" customHeight="1">
      <c r="A82" s="93" t="s">
        <v>10</v>
      </c>
      <c r="B82" s="93"/>
      <c r="C82" s="93"/>
      <c r="D82" s="84">
        <v>3.95</v>
      </c>
      <c r="E82" s="84">
        <v>4.58</v>
      </c>
      <c r="F82" s="84">
        <v>4.59</v>
      </c>
      <c r="G82" s="84">
        <v>4.47</v>
      </c>
      <c r="H82" s="84">
        <v>4.57</v>
      </c>
    </row>
    <row r="83" spans="1:22" ht="30.75" customHeight="1">
      <c r="A83" s="93" t="s">
        <v>14</v>
      </c>
      <c r="B83" s="93"/>
      <c r="C83" s="93"/>
      <c r="D83" s="84">
        <v>4.5599999999999996</v>
      </c>
      <c r="E83" s="84">
        <v>4.41</v>
      </c>
      <c r="F83" s="84">
        <v>4.29</v>
      </c>
      <c r="G83" s="84">
        <v>4.59</v>
      </c>
      <c r="H83" s="84">
        <v>4.42</v>
      </c>
    </row>
    <row r="84" spans="1:22" ht="30" customHeight="1">
      <c r="A84" s="93" t="s">
        <v>12</v>
      </c>
      <c r="B84" s="93"/>
      <c r="C84" s="93"/>
      <c r="D84" s="84">
        <v>4.4800000000000004</v>
      </c>
      <c r="E84" s="84">
        <v>4.53</v>
      </c>
      <c r="F84" s="84">
        <v>4.3899999999999997</v>
      </c>
      <c r="G84" s="84">
        <v>4.59</v>
      </c>
      <c r="H84" s="84">
        <v>4.49</v>
      </c>
    </row>
    <row r="93" spans="1:22" s="4" customFormat="1" ht="15.75">
      <c r="A93" s="30" t="s">
        <v>15</v>
      </c>
      <c r="B93" s="30"/>
      <c r="C93" s="30"/>
      <c r="D93" s="30"/>
      <c r="E93" s="30"/>
      <c r="F93" s="30"/>
      <c r="G93" s="30"/>
      <c r="H93" s="30"/>
      <c r="I93" s="30"/>
      <c r="J93" s="30" t="s">
        <v>16</v>
      </c>
      <c r="K93" s="30"/>
      <c r="L93" s="30"/>
      <c r="M93" s="30"/>
      <c r="N93" s="30"/>
      <c r="O93" s="30"/>
      <c r="P93" s="30"/>
      <c r="Q93" s="30"/>
      <c r="R93" s="30"/>
      <c r="S93" s="30"/>
      <c r="T93" s="30" t="s">
        <v>17</v>
      </c>
      <c r="U93" s="30"/>
      <c r="V93" s="30"/>
    </row>
  </sheetData>
  <mergeCells count="14">
    <mergeCell ref="A72:V72"/>
    <mergeCell ref="A81:C81"/>
    <mergeCell ref="A82:C82"/>
    <mergeCell ref="A83:C83"/>
    <mergeCell ref="A84:C84"/>
    <mergeCell ref="A4:V4"/>
    <mergeCell ref="A5:V5"/>
    <mergeCell ref="F6:P6"/>
    <mergeCell ref="B70:F70"/>
    <mergeCell ref="G70:K70"/>
    <mergeCell ref="L70:P70"/>
    <mergeCell ref="Q70:U70"/>
    <mergeCell ref="A69:A71"/>
    <mergeCell ref="V68:V70"/>
  </mergeCells>
  <pageMargins left="0.70866141732283505" right="0.27" top="0.26" bottom="0.196850393700787" header="0.23" footer="0.2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W94"/>
  <sheetViews>
    <sheetView topLeftCell="A68" workbookViewId="0">
      <selection activeCell="H90" sqref="H90"/>
    </sheetView>
  </sheetViews>
  <sheetFormatPr defaultColWidth="9" defaultRowHeight="15"/>
  <cols>
    <col min="1" max="22" width="8.5703125" customWidth="1"/>
    <col min="23" max="23" width="7.28515625" customWidth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18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20</v>
      </c>
      <c r="R7" s="5" t="s">
        <v>21</v>
      </c>
      <c r="S7" s="5"/>
      <c r="T7" s="5"/>
      <c r="U7" s="6"/>
      <c r="V7" s="3"/>
    </row>
    <row r="8" spans="1:22" ht="15.75" customHeight="1">
      <c r="A8" s="31" t="s">
        <v>5</v>
      </c>
      <c r="B8" s="20">
        <v>1.1000000000000001</v>
      </c>
      <c r="C8" s="20">
        <v>1.2</v>
      </c>
      <c r="D8" s="20">
        <v>1.3</v>
      </c>
      <c r="E8" s="20">
        <v>1.4</v>
      </c>
      <c r="F8" s="20">
        <v>1.5</v>
      </c>
      <c r="G8" s="20">
        <v>2.1</v>
      </c>
      <c r="H8" s="20">
        <v>2.2000000000000002</v>
      </c>
      <c r="I8" s="20">
        <v>2.2999999999999998</v>
      </c>
      <c r="J8" s="20">
        <v>2.4</v>
      </c>
      <c r="K8" s="20">
        <v>2.5</v>
      </c>
      <c r="L8" s="20">
        <v>3.1</v>
      </c>
      <c r="M8" s="20">
        <v>3.2</v>
      </c>
      <c r="N8" s="20">
        <v>3.3</v>
      </c>
      <c r="O8" s="20">
        <v>3.4</v>
      </c>
      <c r="P8" s="20">
        <v>3.5</v>
      </c>
      <c r="Q8" s="20">
        <v>4.0999999999999996</v>
      </c>
      <c r="R8" s="20">
        <v>4.2</v>
      </c>
      <c r="S8" s="20">
        <v>4.3</v>
      </c>
      <c r="T8" s="20">
        <v>4.4000000000000004</v>
      </c>
      <c r="U8" s="20">
        <v>4.5</v>
      </c>
      <c r="V8" s="20" t="s">
        <v>6</v>
      </c>
    </row>
    <row r="9" spans="1:22" ht="15.75" customHeight="1">
      <c r="A9" s="12">
        <v>1</v>
      </c>
      <c r="B9" s="12">
        <v>5</v>
      </c>
      <c r="C9" s="12">
        <v>5</v>
      </c>
      <c r="D9" s="12">
        <v>5</v>
      </c>
      <c r="E9" s="12">
        <v>5</v>
      </c>
      <c r="F9" s="12">
        <v>5</v>
      </c>
      <c r="G9" s="12">
        <v>5</v>
      </c>
      <c r="H9" s="12">
        <v>5</v>
      </c>
      <c r="I9" s="12">
        <v>5</v>
      </c>
      <c r="J9" s="12">
        <v>5</v>
      </c>
      <c r="K9" s="12">
        <v>5</v>
      </c>
      <c r="L9" s="12">
        <v>5</v>
      </c>
      <c r="M9" s="12">
        <v>5</v>
      </c>
      <c r="N9" s="12">
        <v>5</v>
      </c>
      <c r="O9" s="12">
        <v>5</v>
      </c>
      <c r="P9" s="12">
        <v>5</v>
      </c>
      <c r="Q9" s="12">
        <v>5</v>
      </c>
      <c r="R9" s="12">
        <v>5</v>
      </c>
      <c r="S9" s="12">
        <v>5</v>
      </c>
      <c r="T9" s="12">
        <v>5</v>
      </c>
      <c r="U9" s="12">
        <v>5</v>
      </c>
      <c r="V9" s="12">
        <f t="shared" ref="V9:V67" si="0">SUM(B9:U9)</f>
        <v>100</v>
      </c>
    </row>
    <row r="10" spans="1:22" ht="15.75" customHeight="1">
      <c r="A10" s="12">
        <v>2</v>
      </c>
      <c r="B10" s="12">
        <v>5</v>
      </c>
      <c r="C10" s="12">
        <v>4</v>
      </c>
      <c r="D10" s="12">
        <v>5</v>
      </c>
      <c r="E10" s="12">
        <v>5</v>
      </c>
      <c r="F10" s="12">
        <v>5</v>
      </c>
      <c r="G10" s="12">
        <v>5</v>
      </c>
      <c r="H10" s="12">
        <v>5</v>
      </c>
      <c r="I10" s="12">
        <v>4</v>
      </c>
      <c r="J10" s="12">
        <v>5</v>
      </c>
      <c r="K10" s="12">
        <v>5</v>
      </c>
      <c r="L10" s="12">
        <v>5</v>
      </c>
      <c r="M10" s="12">
        <v>5</v>
      </c>
      <c r="N10" s="12">
        <v>5</v>
      </c>
      <c r="O10" s="12">
        <v>5</v>
      </c>
      <c r="P10" s="12">
        <v>4</v>
      </c>
      <c r="Q10" s="12">
        <v>5</v>
      </c>
      <c r="R10" s="12">
        <v>5</v>
      </c>
      <c r="S10" s="12">
        <v>4</v>
      </c>
      <c r="T10" s="12">
        <v>5</v>
      </c>
      <c r="U10" s="12">
        <v>5</v>
      </c>
      <c r="V10" s="12">
        <f t="shared" si="0"/>
        <v>96</v>
      </c>
    </row>
    <row r="11" spans="1:22" ht="15.75" customHeight="1">
      <c r="A11" s="12">
        <v>3</v>
      </c>
      <c r="B11" s="12">
        <v>5</v>
      </c>
      <c r="C11" s="12">
        <v>5</v>
      </c>
      <c r="D11" s="12">
        <v>5</v>
      </c>
      <c r="E11" s="12">
        <v>5</v>
      </c>
      <c r="F11" s="12">
        <v>5</v>
      </c>
      <c r="G11" s="12">
        <v>5</v>
      </c>
      <c r="H11" s="12">
        <v>5</v>
      </c>
      <c r="I11" s="12">
        <v>5</v>
      </c>
      <c r="J11" s="12">
        <v>5</v>
      </c>
      <c r="K11" s="12">
        <v>5</v>
      </c>
      <c r="L11" s="12">
        <v>5</v>
      </c>
      <c r="M11" s="12">
        <v>5</v>
      </c>
      <c r="N11" s="12">
        <v>5</v>
      </c>
      <c r="O11" s="12">
        <v>5</v>
      </c>
      <c r="P11" s="12">
        <v>5</v>
      </c>
      <c r="Q11" s="12">
        <v>5</v>
      </c>
      <c r="R11" s="12">
        <v>5</v>
      </c>
      <c r="S11" s="12">
        <v>5</v>
      </c>
      <c r="T11" s="12">
        <v>5</v>
      </c>
      <c r="U11" s="12">
        <v>5</v>
      </c>
      <c r="V11" s="12">
        <f t="shared" si="0"/>
        <v>100</v>
      </c>
    </row>
    <row r="12" spans="1:22" ht="15.75" customHeight="1">
      <c r="A12" s="12">
        <v>4</v>
      </c>
      <c r="B12" s="12">
        <v>3</v>
      </c>
      <c r="C12" s="12">
        <v>4</v>
      </c>
      <c r="D12" s="12">
        <v>4</v>
      </c>
      <c r="E12" s="12">
        <v>5</v>
      </c>
      <c r="F12" s="12">
        <v>4</v>
      </c>
      <c r="G12" s="12">
        <v>3</v>
      </c>
      <c r="H12" s="12">
        <v>5</v>
      </c>
      <c r="I12" s="12">
        <v>4</v>
      </c>
      <c r="J12" s="12">
        <v>3</v>
      </c>
      <c r="K12" s="12">
        <v>3</v>
      </c>
      <c r="L12" s="12">
        <v>5</v>
      </c>
      <c r="M12" s="12">
        <v>4</v>
      </c>
      <c r="N12" s="12">
        <v>4</v>
      </c>
      <c r="O12" s="12">
        <v>4</v>
      </c>
      <c r="P12" s="12">
        <v>4</v>
      </c>
      <c r="Q12" s="12">
        <v>4</v>
      </c>
      <c r="R12" s="12">
        <v>4</v>
      </c>
      <c r="S12" s="12">
        <v>4</v>
      </c>
      <c r="T12" s="12">
        <v>4</v>
      </c>
      <c r="U12" s="12">
        <v>5</v>
      </c>
      <c r="V12" s="12">
        <f t="shared" si="0"/>
        <v>80</v>
      </c>
    </row>
    <row r="13" spans="1:22" ht="15.75" customHeight="1">
      <c r="A13" s="12">
        <v>5</v>
      </c>
      <c r="B13" s="12">
        <v>5</v>
      </c>
      <c r="C13" s="12">
        <v>5</v>
      </c>
      <c r="D13" s="12">
        <v>5</v>
      </c>
      <c r="E13" s="12">
        <v>5</v>
      </c>
      <c r="F13" s="12">
        <v>5</v>
      </c>
      <c r="G13" s="12">
        <v>5</v>
      </c>
      <c r="H13" s="12">
        <v>5</v>
      </c>
      <c r="I13" s="12">
        <v>3</v>
      </c>
      <c r="J13" s="12">
        <v>3</v>
      </c>
      <c r="K13" s="12">
        <v>3</v>
      </c>
      <c r="L13" s="12">
        <v>3</v>
      </c>
      <c r="M13" s="12">
        <v>3</v>
      </c>
      <c r="N13" s="12">
        <v>3</v>
      </c>
      <c r="O13" s="12">
        <v>3</v>
      </c>
      <c r="P13" s="12">
        <v>3</v>
      </c>
      <c r="Q13" s="12">
        <v>3</v>
      </c>
      <c r="R13" s="12">
        <v>3</v>
      </c>
      <c r="S13" s="12">
        <v>3</v>
      </c>
      <c r="T13" s="12">
        <v>3</v>
      </c>
      <c r="U13" s="12">
        <v>5</v>
      </c>
      <c r="V13" s="12">
        <f t="shared" si="0"/>
        <v>76</v>
      </c>
    </row>
    <row r="14" spans="1:22" ht="15.75" customHeight="1">
      <c r="A14" s="12">
        <v>6</v>
      </c>
      <c r="B14" s="12">
        <v>5</v>
      </c>
      <c r="C14" s="12">
        <v>5</v>
      </c>
      <c r="D14" s="12">
        <v>5</v>
      </c>
      <c r="E14" s="12">
        <v>5</v>
      </c>
      <c r="F14" s="12">
        <v>5</v>
      </c>
      <c r="G14" s="12">
        <v>5</v>
      </c>
      <c r="H14" s="12">
        <v>5</v>
      </c>
      <c r="I14" s="12">
        <v>3</v>
      </c>
      <c r="J14" s="12">
        <v>3</v>
      </c>
      <c r="K14" s="12">
        <v>3</v>
      </c>
      <c r="L14" s="12">
        <v>3</v>
      </c>
      <c r="M14" s="12">
        <v>3</v>
      </c>
      <c r="N14" s="12">
        <v>3</v>
      </c>
      <c r="O14" s="12">
        <v>3</v>
      </c>
      <c r="P14" s="12">
        <v>3</v>
      </c>
      <c r="Q14" s="12">
        <v>3</v>
      </c>
      <c r="R14" s="12">
        <v>3</v>
      </c>
      <c r="S14" s="12">
        <v>3</v>
      </c>
      <c r="T14" s="12">
        <v>3</v>
      </c>
      <c r="U14" s="12">
        <v>5</v>
      </c>
      <c r="V14" s="12">
        <f t="shared" si="0"/>
        <v>76</v>
      </c>
    </row>
    <row r="15" spans="1:22" ht="15.75" customHeight="1">
      <c r="A15" s="12">
        <v>7</v>
      </c>
      <c r="B15" s="12">
        <v>4</v>
      </c>
      <c r="C15" s="12">
        <v>5</v>
      </c>
      <c r="D15" s="12">
        <v>3</v>
      </c>
      <c r="E15" s="12">
        <v>4</v>
      </c>
      <c r="F15" s="12">
        <v>3</v>
      </c>
      <c r="G15" s="12">
        <v>2</v>
      </c>
      <c r="H15" s="12">
        <v>2</v>
      </c>
      <c r="I15" s="12">
        <v>3</v>
      </c>
      <c r="J15" s="12">
        <v>3</v>
      </c>
      <c r="K15" s="12">
        <v>2</v>
      </c>
      <c r="L15" s="12">
        <v>4</v>
      </c>
      <c r="M15" s="12">
        <v>4</v>
      </c>
      <c r="N15" s="12">
        <v>4</v>
      </c>
      <c r="O15" s="12">
        <v>3</v>
      </c>
      <c r="P15" s="12">
        <v>3</v>
      </c>
      <c r="Q15" s="12">
        <v>4</v>
      </c>
      <c r="R15" s="12">
        <v>3</v>
      </c>
      <c r="S15" s="12">
        <v>3</v>
      </c>
      <c r="T15" s="12">
        <v>3</v>
      </c>
      <c r="U15" s="12">
        <v>4</v>
      </c>
      <c r="V15" s="12">
        <f t="shared" si="0"/>
        <v>66</v>
      </c>
    </row>
    <row r="16" spans="1:22" ht="15.75" customHeight="1">
      <c r="A16" s="12">
        <v>8</v>
      </c>
      <c r="B16" s="12">
        <v>4</v>
      </c>
      <c r="C16" s="12">
        <v>4</v>
      </c>
      <c r="D16" s="12">
        <v>5</v>
      </c>
      <c r="E16" s="12">
        <v>4</v>
      </c>
      <c r="F16" s="12">
        <v>4</v>
      </c>
      <c r="G16" s="12">
        <v>4</v>
      </c>
      <c r="H16" s="12">
        <v>4</v>
      </c>
      <c r="I16" s="12">
        <v>4</v>
      </c>
      <c r="J16" s="12">
        <v>4</v>
      </c>
      <c r="K16" s="12">
        <v>3</v>
      </c>
      <c r="L16" s="12">
        <v>4</v>
      </c>
      <c r="M16" s="12">
        <v>3</v>
      </c>
      <c r="N16" s="12">
        <v>4</v>
      </c>
      <c r="O16" s="12">
        <v>4</v>
      </c>
      <c r="P16" s="12">
        <v>4</v>
      </c>
      <c r="Q16" s="12">
        <v>4</v>
      </c>
      <c r="R16" s="12">
        <v>4</v>
      </c>
      <c r="S16" s="12">
        <v>3</v>
      </c>
      <c r="T16" s="12">
        <v>3</v>
      </c>
      <c r="U16" s="12">
        <v>5</v>
      </c>
      <c r="V16" s="12">
        <f t="shared" si="0"/>
        <v>78</v>
      </c>
    </row>
    <row r="17" spans="1:22" ht="15.75" customHeight="1">
      <c r="A17" s="12">
        <v>9</v>
      </c>
      <c r="B17" s="12">
        <v>4</v>
      </c>
      <c r="C17" s="12">
        <v>2</v>
      </c>
      <c r="D17" s="12">
        <v>2</v>
      </c>
      <c r="E17" s="12">
        <v>5</v>
      </c>
      <c r="F17" s="12">
        <v>3</v>
      </c>
      <c r="G17" s="12">
        <v>4</v>
      </c>
      <c r="H17" s="12">
        <v>5</v>
      </c>
      <c r="I17" s="12">
        <v>3</v>
      </c>
      <c r="J17" s="12">
        <v>3</v>
      </c>
      <c r="K17" s="12">
        <v>3</v>
      </c>
      <c r="L17" s="12">
        <v>3</v>
      </c>
      <c r="M17" s="12">
        <v>3</v>
      </c>
      <c r="N17" s="12">
        <v>3</v>
      </c>
      <c r="O17" s="12">
        <v>3</v>
      </c>
      <c r="P17" s="12">
        <v>3</v>
      </c>
      <c r="Q17" s="12">
        <v>3</v>
      </c>
      <c r="R17" s="12">
        <v>3</v>
      </c>
      <c r="S17" s="12">
        <v>3</v>
      </c>
      <c r="T17" s="12">
        <v>4</v>
      </c>
      <c r="U17" s="12">
        <v>5</v>
      </c>
      <c r="V17" s="12">
        <f t="shared" si="0"/>
        <v>67</v>
      </c>
    </row>
    <row r="18" spans="1:22" ht="15.75" customHeight="1">
      <c r="A18" s="12">
        <v>10</v>
      </c>
      <c r="B18" s="12">
        <v>4</v>
      </c>
      <c r="C18" s="12">
        <v>4</v>
      </c>
      <c r="D18" s="12">
        <v>5</v>
      </c>
      <c r="E18" s="12">
        <v>5</v>
      </c>
      <c r="F18" s="12">
        <v>5</v>
      </c>
      <c r="G18" s="12">
        <v>4</v>
      </c>
      <c r="H18" s="12">
        <v>5</v>
      </c>
      <c r="I18" s="12">
        <v>4</v>
      </c>
      <c r="J18" s="12">
        <v>3</v>
      </c>
      <c r="K18" s="12">
        <v>3</v>
      </c>
      <c r="L18" s="12">
        <v>3</v>
      </c>
      <c r="M18" s="12">
        <v>3</v>
      </c>
      <c r="N18" s="12">
        <v>3</v>
      </c>
      <c r="O18" s="12">
        <v>4</v>
      </c>
      <c r="P18" s="12">
        <v>4</v>
      </c>
      <c r="Q18" s="12">
        <v>1</v>
      </c>
      <c r="R18" s="12">
        <v>3</v>
      </c>
      <c r="S18" s="12">
        <v>4</v>
      </c>
      <c r="T18" s="12">
        <v>3</v>
      </c>
      <c r="U18" s="12">
        <v>5</v>
      </c>
      <c r="V18" s="12">
        <f t="shared" si="0"/>
        <v>75</v>
      </c>
    </row>
    <row r="19" spans="1:22" ht="15.75" customHeight="1">
      <c r="A19" s="12">
        <v>11</v>
      </c>
      <c r="B19" s="12">
        <v>5</v>
      </c>
      <c r="C19" s="12">
        <v>5</v>
      </c>
      <c r="D19" s="12">
        <v>5</v>
      </c>
      <c r="E19" s="12">
        <v>5</v>
      </c>
      <c r="F19" s="12">
        <v>5</v>
      </c>
      <c r="G19" s="12">
        <v>5</v>
      </c>
      <c r="H19" s="12">
        <v>5</v>
      </c>
      <c r="I19" s="12">
        <v>3</v>
      </c>
      <c r="J19" s="12">
        <v>3</v>
      </c>
      <c r="K19" s="12">
        <v>3</v>
      </c>
      <c r="L19" s="12">
        <v>3</v>
      </c>
      <c r="M19" s="12">
        <v>3</v>
      </c>
      <c r="N19" s="12">
        <v>3</v>
      </c>
      <c r="O19" s="12">
        <v>3</v>
      </c>
      <c r="P19" s="12">
        <v>3</v>
      </c>
      <c r="Q19" s="12">
        <v>3</v>
      </c>
      <c r="R19" s="12">
        <v>3</v>
      </c>
      <c r="S19" s="12">
        <v>3</v>
      </c>
      <c r="T19" s="12">
        <v>3</v>
      </c>
      <c r="U19" s="12">
        <v>5</v>
      </c>
      <c r="V19" s="12">
        <f t="shared" si="0"/>
        <v>76</v>
      </c>
    </row>
    <row r="20" spans="1:22" ht="15.75" customHeight="1">
      <c r="A20" s="12">
        <v>12</v>
      </c>
      <c r="B20" s="12">
        <v>4</v>
      </c>
      <c r="C20" s="12">
        <v>5</v>
      </c>
      <c r="D20" s="12">
        <v>5</v>
      </c>
      <c r="E20" s="12">
        <v>5</v>
      </c>
      <c r="F20" s="12">
        <v>5</v>
      </c>
      <c r="G20" s="12">
        <v>4</v>
      </c>
      <c r="H20" s="12">
        <v>4</v>
      </c>
      <c r="I20" s="12">
        <v>4</v>
      </c>
      <c r="J20" s="12">
        <v>4</v>
      </c>
      <c r="K20" s="12">
        <v>4</v>
      </c>
      <c r="L20" s="12">
        <v>3</v>
      </c>
      <c r="M20" s="12">
        <v>4</v>
      </c>
      <c r="N20" s="12">
        <v>4</v>
      </c>
      <c r="O20" s="12">
        <v>4</v>
      </c>
      <c r="P20" s="12">
        <v>4</v>
      </c>
      <c r="Q20" s="12">
        <v>3</v>
      </c>
      <c r="R20" s="12">
        <v>4</v>
      </c>
      <c r="S20" s="12">
        <v>4</v>
      </c>
      <c r="T20" s="12">
        <v>3</v>
      </c>
      <c r="U20" s="12">
        <v>4</v>
      </c>
      <c r="V20" s="12">
        <f t="shared" si="0"/>
        <v>81</v>
      </c>
    </row>
    <row r="21" spans="1:22" ht="15.75" customHeight="1">
      <c r="A21" s="12">
        <v>13</v>
      </c>
      <c r="B21" s="12">
        <v>5</v>
      </c>
      <c r="C21" s="12">
        <v>5</v>
      </c>
      <c r="D21" s="12">
        <v>5</v>
      </c>
      <c r="E21" s="12">
        <v>5</v>
      </c>
      <c r="F21" s="12">
        <v>5</v>
      </c>
      <c r="G21" s="12">
        <v>5</v>
      </c>
      <c r="H21" s="12">
        <v>5</v>
      </c>
      <c r="I21" s="12">
        <v>3</v>
      </c>
      <c r="J21" s="12">
        <v>3</v>
      </c>
      <c r="K21" s="12">
        <v>3</v>
      </c>
      <c r="L21" s="12">
        <v>3</v>
      </c>
      <c r="M21" s="12">
        <v>3</v>
      </c>
      <c r="N21" s="12">
        <v>3</v>
      </c>
      <c r="O21" s="12">
        <v>3</v>
      </c>
      <c r="P21" s="12">
        <v>3</v>
      </c>
      <c r="Q21" s="12">
        <v>3</v>
      </c>
      <c r="R21" s="12">
        <v>3</v>
      </c>
      <c r="S21" s="12">
        <v>3</v>
      </c>
      <c r="T21" s="12">
        <v>3</v>
      </c>
      <c r="U21" s="12">
        <v>5</v>
      </c>
      <c r="V21" s="12">
        <f t="shared" si="0"/>
        <v>76</v>
      </c>
    </row>
    <row r="22" spans="1:22" ht="15.75" customHeight="1">
      <c r="A22" s="12">
        <v>14</v>
      </c>
      <c r="B22" s="12">
        <v>5</v>
      </c>
      <c r="C22" s="12">
        <v>5</v>
      </c>
      <c r="D22" s="12">
        <v>5</v>
      </c>
      <c r="E22" s="12">
        <v>5</v>
      </c>
      <c r="F22" s="12">
        <v>5</v>
      </c>
      <c r="G22" s="12">
        <v>5</v>
      </c>
      <c r="H22" s="12">
        <v>5</v>
      </c>
      <c r="I22" s="12">
        <v>3</v>
      </c>
      <c r="J22" s="12">
        <v>4</v>
      </c>
      <c r="K22" s="12">
        <v>3</v>
      </c>
      <c r="L22" s="12">
        <v>3</v>
      </c>
      <c r="M22" s="12">
        <v>3</v>
      </c>
      <c r="N22" s="12">
        <v>3</v>
      </c>
      <c r="O22" s="12">
        <v>4</v>
      </c>
      <c r="P22" s="12">
        <v>3</v>
      </c>
      <c r="Q22" s="12">
        <v>3</v>
      </c>
      <c r="R22" s="12">
        <v>3</v>
      </c>
      <c r="S22" s="12">
        <v>3</v>
      </c>
      <c r="T22" s="12">
        <v>3</v>
      </c>
      <c r="U22" s="12">
        <v>5</v>
      </c>
      <c r="V22" s="12">
        <f t="shared" si="0"/>
        <v>78</v>
      </c>
    </row>
    <row r="23" spans="1:22" ht="15.75" customHeight="1">
      <c r="A23" s="12">
        <v>15</v>
      </c>
      <c r="B23" s="12">
        <v>5</v>
      </c>
      <c r="C23" s="12">
        <v>4</v>
      </c>
      <c r="D23" s="12">
        <v>5</v>
      </c>
      <c r="E23" s="12">
        <v>4</v>
      </c>
      <c r="F23" s="12">
        <v>3</v>
      </c>
      <c r="G23" s="12">
        <v>4</v>
      </c>
      <c r="H23" s="12">
        <v>4</v>
      </c>
      <c r="I23" s="12">
        <v>3</v>
      </c>
      <c r="J23" s="12">
        <v>3</v>
      </c>
      <c r="K23" s="12">
        <v>3</v>
      </c>
      <c r="L23" s="12">
        <v>4</v>
      </c>
      <c r="M23" s="12">
        <v>4</v>
      </c>
      <c r="N23" s="12">
        <v>3</v>
      </c>
      <c r="O23" s="12">
        <v>4</v>
      </c>
      <c r="P23" s="12">
        <v>3</v>
      </c>
      <c r="Q23" s="12">
        <v>4</v>
      </c>
      <c r="R23" s="12">
        <v>4</v>
      </c>
      <c r="S23" s="12">
        <v>2</v>
      </c>
      <c r="T23" s="12">
        <v>3</v>
      </c>
      <c r="U23" s="12">
        <v>3</v>
      </c>
      <c r="V23" s="12">
        <f t="shared" si="0"/>
        <v>72</v>
      </c>
    </row>
    <row r="24" spans="1:22" ht="15.75" customHeight="1">
      <c r="A24" s="12">
        <v>16</v>
      </c>
      <c r="B24" s="12">
        <v>4</v>
      </c>
      <c r="C24" s="12">
        <v>4</v>
      </c>
      <c r="D24" s="12">
        <v>4</v>
      </c>
      <c r="E24" s="12">
        <v>4</v>
      </c>
      <c r="F24" s="12">
        <v>4</v>
      </c>
      <c r="G24" s="12">
        <v>4</v>
      </c>
      <c r="H24" s="12">
        <v>4</v>
      </c>
      <c r="I24" s="12">
        <v>4</v>
      </c>
      <c r="J24" s="12">
        <v>4</v>
      </c>
      <c r="K24" s="12">
        <v>4</v>
      </c>
      <c r="L24" s="12">
        <v>4</v>
      </c>
      <c r="M24" s="12">
        <v>4</v>
      </c>
      <c r="N24" s="12">
        <v>4</v>
      </c>
      <c r="O24" s="12">
        <v>4</v>
      </c>
      <c r="P24" s="12">
        <v>4</v>
      </c>
      <c r="Q24" s="12">
        <v>4</v>
      </c>
      <c r="R24" s="12">
        <v>4</v>
      </c>
      <c r="S24" s="12">
        <v>4</v>
      </c>
      <c r="T24" s="12">
        <v>4</v>
      </c>
      <c r="U24" s="12">
        <v>4</v>
      </c>
      <c r="V24" s="12">
        <f t="shared" si="0"/>
        <v>80</v>
      </c>
    </row>
    <row r="25" spans="1:22" ht="15.75" customHeight="1">
      <c r="A25" s="12">
        <v>17</v>
      </c>
      <c r="B25" s="12">
        <v>5</v>
      </c>
      <c r="C25" s="12">
        <v>5</v>
      </c>
      <c r="D25" s="12">
        <v>5</v>
      </c>
      <c r="E25" s="12">
        <v>5</v>
      </c>
      <c r="F25" s="12">
        <v>5</v>
      </c>
      <c r="G25" s="12">
        <v>5</v>
      </c>
      <c r="H25" s="12">
        <v>5</v>
      </c>
      <c r="I25" s="12">
        <v>3</v>
      </c>
      <c r="J25" s="12">
        <v>3</v>
      </c>
      <c r="K25" s="12">
        <v>3</v>
      </c>
      <c r="L25" s="12">
        <v>3</v>
      </c>
      <c r="M25" s="12">
        <v>3</v>
      </c>
      <c r="N25" s="12">
        <v>3</v>
      </c>
      <c r="O25" s="12">
        <v>3</v>
      </c>
      <c r="P25" s="12">
        <v>3</v>
      </c>
      <c r="Q25" s="12">
        <v>3</v>
      </c>
      <c r="R25" s="12">
        <v>3</v>
      </c>
      <c r="S25" s="12">
        <v>3</v>
      </c>
      <c r="T25" s="12">
        <v>3</v>
      </c>
      <c r="U25" s="12">
        <v>5</v>
      </c>
      <c r="V25" s="12">
        <f t="shared" si="0"/>
        <v>76</v>
      </c>
    </row>
    <row r="26" spans="1:22" ht="15.75" customHeight="1">
      <c r="A26" s="12">
        <v>18</v>
      </c>
      <c r="B26" s="12">
        <v>5</v>
      </c>
      <c r="C26" s="12">
        <v>5</v>
      </c>
      <c r="D26" s="12">
        <v>5</v>
      </c>
      <c r="E26" s="12">
        <v>5</v>
      </c>
      <c r="F26" s="12">
        <v>5</v>
      </c>
      <c r="G26" s="12">
        <v>5</v>
      </c>
      <c r="H26" s="12">
        <v>5</v>
      </c>
      <c r="I26" s="12">
        <v>3</v>
      </c>
      <c r="J26" s="12">
        <v>3</v>
      </c>
      <c r="K26" s="12">
        <v>3</v>
      </c>
      <c r="L26" s="12">
        <v>3</v>
      </c>
      <c r="M26" s="12">
        <v>3</v>
      </c>
      <c r="N26" s="12">
        <v>3</v>
      </c>
      <c r="O26" s="12">
        <v>3</v>
      </c>
      <c r="P26" s="12">
        <v>3</v>
      </c>
      <c r="Q26" s="12">
        <v>3</v>
      </c>
      <c r="R26" s="12">
        <v>3</v>
      </c>
      <c r="S26" s="12">
        <v>3</v>
      </c>
      <c r="T26" s="12">
        <v>3</v>
      </c>
      <c r="U26" s="12">
        <v>5</v>
      </c>
      <c r="V26" s="12">
        <f t="shared" si="0"/>
        <v>76</v>
      </c>
    </row>
    <row r="27" spans="1:22" ht="15.75" customHeight="1">
      <c r="A27" s="12">
        <v>19</v>
      </c>
      <c r="B27" s="12">
        <v>4</v>
      </c>
      <c r="C27" s="12">
        <v>3</v>
      </c>
      <c r="D27" s="12">
        <v>2</v>
      </c>
      <c r="E27" s="12">
        <v>3</v>
      </c>
      <c r="F27" s="12">
        <v>3</v>
      </c>
      <c r="G27" s="12">
        <v>4</v>
      </c>
      <c r="H27" s="12">
        <v>3</v>
      </c>
      <c r="I27" s="12">
        <v>3</v>
      </c>
      <c r="J27" s="12">
        <v>2</v>
      </c>
      <c r="K27" s="12">
        <v>3</v>
      </c>
      <c r="L27" s="12">
        <v>3</v>
      </c>
      <c r="M27" s="12">
        <v>2</v>
      </c>
      <c r="N27" s="12">
        <v>4</v>
      </c>
      <c r="O27" s="12">
        <v>3</v>
      </c>
      <c r="P27" s="12">
        <v>3</v>
      </c>
      <c r="Q27" s="12">
        <v>3</v>
      </c>
      <c r="R27" s="12">
        <v>3</v>
      </c>
      <c r="S27" s="12">
        <v>3</v>
      </c>
      <c r="T27" s="12">
        <v>2</v>
      </c>
      <c r="U27" s="12">
        <v>3</v>
      </c>
      <c r="V27" s="12">
        <f t="shared" si="0"/>
        <v>59</v>
      </c>
    </row>
    <row r="28" spans="1:22" ht="15.75" customHeight="1">
      <c r="A28" s="12">
        <v>20</v>
      </c>
      <c r="B28" s="12">
        <v>4</v>
      </c>
      <c r="C28" s="12">
        <v>4</v>
      </c>
      <c r="D28" s="12">
        <v>4</v>
      </c>
      <c r="E28" s="12">
        <v>4</v>
      </c>
      <c r="F28" s="12">
        <v>4</v>
      </c>
      <c r="G28" s="12">
        <v>4</v>
      </c>
      <c r="H28" s="12">
        <v>4</v>
      </c>
      <c r="I28" s="12">
        <v>4</v>
      </c>
      <c r="J28" s="12">
        <v>4</v>
      </c>
      <c r="K28" s="12">
        <v>4</v>
      </c>
      <c r="L28" s="12">
        <v>4</v>
      </c>
      <c r="M28" s="12">
        <v>4</v>
      </c>
      <c r="N28" s="12">
        <v>4</v>
      </c>
      <c r="O28" s="12">
        <v>3</v>
      </c>
      <c r="P28" s="12">
        <v>4</v>
      </c>
      <c r="Q28" s="12">
        <v>4</v>
      </c>
      <c r="R28" s="12">
        <v>4</v>
      </c>
      <c r="S28" s="12">
        <v>4</v>
      </c>
      <c r="T28" s="12">
        <v>4</v>
      </c>
      <c r="U28" s="12">
        <v>4</v>
      </c>
      <c r="V28" s="12">
        <f t="shared" si="0"/>
        <v>79</v>
      </c>
    </row>
    <row r="29" spans="1:22" ht="15.75" customHeight="1">
      <c r="A29" s="12">
        <v>21</v>
      </c>
      <c r="B29" s="12">
        <v>4</v>
      </c>
      <c r="C29" s="12">
        <v>4</v>
      </c>
      <c r="D29" s="12">
        <v>4</v>
      </c>
      <c r="E29" s="12">
        <v>4</v>
      </c>
      <c r="F29" s="12">
        <v>4</v>
      </c>
      <c r="G29" s="12">
        <v>4</v>
      </c>
      <c r="H29" s="12">
        <v>4</v>
      </c>
      <c r="I29" s="12">
        <v>4</v>
      </c>
      <c r="J29" s="12">
        <v>4</v>
      </c>
      <c r="K29" s="12">
        <v>4</v>
      </c>
      <c r="L29" s="12">
        <v>4</v>
      </c>
      <c r="M29" s="12">
        <v>4</v>
      </c>
      <c r="N29" s="12">
        <v>4</v>
      </c>
      <c r="O29" s="12">
        <v>4</v>
      </c>
      <c r="P29" s="12">
        <v>4</v>
      </c>
      <c r="Q29" s="12">
        <v>4</v>
      </c>
      <c r="R29" s="12">
        <v>4</v>
      </c>
      <c r="S29" s="12">
        <v>4</v>
      </c>
      <c r="T29" s="12">
        <v>4</v>
      </c>
      <c r="U29" s="12">
        <v>4</v>
      </c>
      <c r="V29" s="12">
        <f t="shared" si="0"/>
        <v>80</v>
      </c>
    </row>
    <row r="30" spans="1:22" ht="15.75" customHeight="1">
      <c r="A30" s="12">
        <v>22</v>
      </c>
      <c r="B30" s="12">
        <v>5</v>
      </c>
      <c r="C30" s="12">
        <v>5</v>
      </c>
      <c r="D30" s="12">
        <v>5</v>
      </c>
      <c r="E30" s="12">
        <v>5</v>
      </c>
      <c r="F30" s="12">
        <v>5</v>
      </c>
      <c r="G30" s="12">
        <v>5</v>
      </c>
      <c r="H30" s="12">
        <v>5</v>
      </c>
      <c r="I30" s="12">
        <v>5</v>
      </c>
      <c r="J30" s="12">
        <v>4</v>
      </c>
      <c r="K30" s="12">
        <v>5</v>
      </c>
      <c r="L30" s="12">
        <v>5</v>
      </c>
      <c r="M30" s="12">
        <v>5</v>
      </c>
      <c r="N30" s="12">
        <v>5</v>
      </c>
      <c r="O30" s="12">
        <v>3</v>
      </c>
      <c r="P30" s="12">
        <v>3</v>
      </c>
      <c r="Q30" s="12">
        <v>3</v>
      </c>
      <c r="R30" s="12">
        <v>3</v>
      </c>
      <c r="S30" s="12">
        <v>3</v>
      </c>
      <c r="T30" s="12">
        <v>3</v>
      </c>
      <c r="U30" s="12">
        <v>5</v>
      </c>
      <c r="V30" s="12">
        <f t="shared" si="0"/>
        <v>87</v>
      </c>
    </row>
    <row r="31" spans="1:22" ht="15.75" customHeight="1">
      <c r="A31" s="12">
        <v>23</v>
      </c>
      <c r="B31" s="12">
        <v>4</v>
      </c>
      <c r="C31" s="12">
        <v>4</v>
      </c>
      <c r="D31" s="12">
        <v>4</v>
      </c>
      <c r="E31" s="12">
        <v>4</v>
      </c>
      <c r="F31" s="12">
        <v>5</v>
      </c>
      <c r="G31" s="12">
        <v>5</v>
      </c>
      <c r="H31" s="12">
        <v>5</v>
      </c>
      <c r="I31" s="12">
        <v>4</v>
      </c>
      <c r="J31" s="12">
        <v>4</v>
      </c>
      <c r="K31" s="12">
        <v>4</v>
      </c>
      <c r="L31" s="12">
        <v>4</v>
      </c>
      <c r="M31" s="12">
        <v>4</v>
      </c>
      <c r="N31" s="12">
        <v>5</v>
      </c>
      <c r="O31" s="12">
        <v>4</v>
      </c>
      <c r="P31" s="12">
        <v>3</v>
      </c>
      <c r="Q31" s="12">
        <v>3</v>
      </c>
      <c r="R31" s="12">
        <v>4</v>
      </c>
      <c r="S31" s="12">
        <v>3</v>
      </c>
      <c r="T31" s="12">
        <v>4</v>
      </c>
      <c r="U31" s="12">
        <v>4</v>
      </c>
      <c r="V31" s="12">
        <f t="shared" si="0"/>
        <v>81</v>
      </c>
    </row>
    <row r="32" spans="1:22" ht="15.75" customHeight="1">
      <c r="A32" s="12">
        <v>24</v>
      </c>
      <c r="B32" s="12">
        <v>5</v>
      </c>
      <c r="C32" s="12">
        <v>5</v>
      </c>
      <c r="D32" s="12">
        <v>5</v>
      </c>
      <c r="E32" s="12">
        <v>5</v>
      </c>
      <c r="F32" s="12">
        <v>5</v>
      </c>
      <c r="G32" s="12">
        <v>5</v>
      </c>
      <c r="H32" s="12">
        <v>5</v>
      </c>
      <c r="I32" s="12">
        <v>5</v>
      </c>
      <c r="J32" s="12">
        <v>5</v>
      </c>
      <c r="K32" s="12">
        <v>5</v>
      </c>
      <c r="L32" s="12">
        <v>5</v>
      </c>
      <c r="M32" s="12">
        <v>5</v>
      </c>
      <c r="N32" s="12">
        <v>5</v>
      </c>
      <c r="O32" s="12">
        <v>3</v>
      </c>
      <c r="P32" s="12">
        <v>3</v>
      </c>
      <c r="Q32" s="12">
        <v>3</v>
      </c>
      <c r="R32" s="12">
        <v>3</v>
      </c>
      <c r="S32" s="12">
        <v>3</v>
      </c>
      <c r="T32" s="12">
        <v>3</v>
      </c>
      <c r="U32" s="12">
        <v>5</v>
      </c>
      <c r="V32" s="12">
        <f t="shared" si="0"/>
        <v>88</v>
      </c>
    </row>
    <row r="33" spans="1:22" ht="15.75" customHeight="1">
      <c r="A33" s="12">
        <v>25</v>
      </c>
      <c r="B33" s="12">
        <v>3</v>
      </c>
      <c r="C33" s="12">
        <v>3</v>
      </c>
      <c r="D33" s="12">
        <v>3</v>
      </c>
      <c r="E33" s="12">
        <v>3</v>
      </c>
      <c r="F33" s="12">
        <v>3</v>
      </c>
      <c r="G33" s="12">
        <v>3</v>
      </c>
      <c r="H33" s="12">
        <v>3</v>
      </c>
      <c r="I33" s="12">
        <v>3</v>
      </c>
      <c r="J33" s="12">
        <v>3</v>
      </c>
      <c r="K33" s="12">
        <v>3</v>
      </c>
      <c r="L33" s="12">
        <v>3</v>
      </c>
      <c r="M33" s="12">
        <v>3</v>
      </c>
      <c r="N33" s="12">
        <v>3</v>
      </c>
      <c r="O33" s="12">
        <v>4</v>
      </c>
      <c r="P33" s="12">
        <v>3</v>
      </c>
      <c r="Q33" s="12">
        <v>2</v>
      </c>
      <c r="R33" s="12">
        <v>3</v>
      </c>
      <c r="S33" s="12">
        <v>3</v>
      </c>
      <c r="T33" s="12">
        <v>3</v>
      </c>
      <c r="U33" s="12">
        <v>3</v>
      </c>
      <c r="V33" s="12">
        <f t="shared" si="0"/>
        <v>60</v>
      </c>
    </row>
    <row r="34" spans="1:22" ht="15.75" customHeight="1">
      <c r="A34" s="12">
        <v>26</v>
      </c>
      <c r="B34" s="12">
        <v>4</v>
      </c>
      <c r="C34" s="12">
        <v>5</v>
      </c>
      <c r="D34" s="12">
        <v>5</v>
      </c>
      <c r="E34" s="12">
        <v>4</v>
      </c>
      <c r="F34" s="12">
        <v>4</v>
      </c>
      <c r="G34" s="12">
        <v>3</v>
      </c>
      <c r="H34" s="12">
        <v>5</v>
      </c>
      <c r="I34" s="12">
        <v>4</v>
      </c>
      <c r="J34" s="12">
        <v>4</v>
      </c>
      <c r="K34" s="12">
        <v>4</v>
      </c>
      <c r="L34" s="12">
        <v>4</v>
      </c>
      <c r="M34" s="12">
        <v>4</v>
      </c>
      <c r="N34" s="12">
        <v>5</v>
      </c>
      <c r="O34" s="12">
        <v>4</v>
      </c>
      <c r="P34" s="12">
        <v>4</v>
      </c>
      <c r="Q34" s="12">
        <v>3</v>
      </c>
      <c r="R34" s="12">
        <v>4</v>
      </c>
      <c r="S34" s="12">
        <v>4</v>
      </c>
      <c r="T34" s="12">
        <v>4</v>
      </c>
      <c r="U34" s="12">
        <v>5</v>
      </c>
      <c r="V34" s="12">
        <f t="shared" si="0"/>
        <v>83</v>
      </c>
    </row>
    <row r="35" spans="1:22" ht="15.75" customHeight="1">
      <c r="A35" s="12">
        <v>27</v>
      </c>
      <c r="B35" s="12">
        <v>5</v>
      </c>
      <c r="C35" s="12">
        <v>5</v>
      </c>
      <c r="D35" s="12">
        <v>5</v>
      </c>
      <c r="E35" s="12">
        <v>5</v>
      </c>
      <c r="F35" s="12">
        <v>5</v>
      </c>
      <c r="G35" s="12">
        <v>5</v>
      </c>
      <c r="H35" s="12">
        <v>5</v>
      </c>
      <c r="I35" s="12">
        <v>5</v>
      </c>
      <c r="J35" s="12">
        <v>5</v>
      </c>
      <c r="K35" s="12">
        <v>5</v>
      </c>
      <c r="L35" s="12">
        <v>5</v>
      </c>
      <c r="M35" s="12">
        <v>5</v>
      </c>
      <c r="N35" s="12">
        <v>5</v>
      </c>
      <c r="O35" s="12">
        <v>3</v>
      </c>
      <c r="P35" s="12">
        <v>3</v>
      </c>
      <c r="Q35" s="12">
        <v>3</v>
      </c>
      <c r="R35" s="12">
        <v>3</v>
      </c>
      <c r="S35" s="12">
        <v>3</v>
      </c>
      <c r="T35" s="12">
        <v>3</v>
      </c>
      <c r="U35" s="12">
        <v>5</v>
      </c>
      <c r="V35" s="12">
        <f t="shared" si="0"/>
        <v>88</v>
      </c>
    </row>
    <row r="36" spans="1:22" ht="15.75" customHeight="1">
      <c r="A36" s="12">
        <v>28</v>
      </c>
      <c r="B36" s="12">
        <v>5</v>
      </c>
      <c r="C36" s="12">
        <v>5</v>
      </c>
      <c r="D36" s="12">
        <v>5</v>
      </c>
      <c r="E36" s="12">
        <v>5</v>
      </c>
      <c r="F36" s="12">
        <v>5</v>
      </c>
      <c r="G36" s="12">
        <v>5</v>
      </c>
      <c r="H36" s="12">
        <v>5</v>
      </c>
      <c r="I36" s="12">
        <v>5</v>
      </c>
      <c r="J36" s="12">
        <v>5</v>
      </c>
      <c r="K36" s="12">
        <v>5</v>
      </c>
      <c r="L36" s="12">
        <v>5</v>
      </c>
      <c r="M36" s="12">
        <v>5</v>
      </c>
      <c r="N36" s="12">
        <v>5</v>
      </c>
      <c r="O36" s="12">
        <v>3</v>
      </c>
      <c r="P36" s="12">
        <v>3</v>
      </c>
      <c r="Q36" s="12">
        <v>3</v>
      </c>
      <c r="R36" s="12">
        <v>3</v>
      </c>
      <c r="S36" s="12">
        <v>3</v>
      </c>
      <c r="T36" s="12">
        <v>3</v>
      </c>
      <c r="U36" s="12">
        <v>5</v>
      </c>
      <c r="V36" s="12">
        <f t="shared" si="0"/>
        <v>88</v>
      </c>
    </row>
    <row r="37" spans="1:22" ht="15.75" customHeight="1">
      <c r="A37" s="12">
        <v>29</v>
      </c>
      <c r="B37" s="12">
        <v>5</v>
      </c>
      <c r="C37" s="12">
        <v>5</v>
      </c>
      <c r="D37" s="12">
        <v>4</v>
      </c>
      <c r="E37" s="12">
        <v>4</v>
      </c>
      <c r="F37" s="12">
        <v>3</v>
      </c>
      <c r="G37" s="12">
        <v>4</v>
      </c>
      <c r="H37" s="12">
        <v>3</v>
      </c>
      <c r="I37" s="12">
        <v>4</v>
      </c>
      <c r="J37" s="12">
        <v>3</v>
      </c>
      <c r="K37" s="12">
        <v>5</v>
      </c>
      <c r="L37" s="12">
        <v>4</v>
      </c>
      <c r="M37" s="12">
        <v>5</v>
      </c>
      <c r="N37" s="12">
        <v>4</v>
      </c>
      <c r="O37" s="12">
        <v>3</v>
      </c>
      <c r="P37" s="12">
        <v>4</v>
      </c>
      <c r="Q37" s="12">
        <v>3</v>
      </c>
      <c r="R37" s="12">
        <v>4</v>
      </c>
      <c r="S37" s="12">
        <v>3</v>
      </c>
      <c r="T37" s="12">
        <v>3</v>
      </c>
      <c r="U37" s="12">
        <v>5</v>
      </c>
      <c r="V37" s="12">
        <f t="shared" si="0"/>
        <v>78</v>
      </c>
    </row>
    <row r="38" spans="1:22" ht="15.75" customHeight="1">
      <c r="A38" s="12">
        <v>30</v>
      </c>
      <c r="B38" s="12">
        <v>5</v>
      </c>
      <c r="C38" s="12">
        <v>5</v>
      </c>
      <c r="D38" s="12">
        <v>5</v>
      </c>
      <c r="E38" s="12">
        <v>5</v>
      </c>
      <c r="F38" s="12">
        <v>3</v>
      </c>
      <c r="G38" s="12">
        <v>3</v>
      </c>
      <c r="H38" s="12">
        <v>3</v>
      </c>
      <c r="I38" s="12">
        <v>3</v>
      </c>
      <c r="J38" s="12">
        <v>3</v>
      </c>
      <c r="K38" s="12">
        <v>5</v>
      </c>
      <c r="L38" s="12">
        <v>5</v>
      </c>
      <c r="M38" s="12">
        <v>5</v>
      </c>
      <c r="N38" s="12">
        <v>5</v>
      </c>
      <c r="O38" s="12">
        <v>3</v>
      </c>
      <c r="P38" s="12">
        <v>3</v>
      </c>
      <c r="Q38" s="12">
        <v>3</v>
      </c>
      <c r="R38" s="12">
        <v>3</v>
      </c>
      <c r="S38" s="12">
        <v>3</v>
      </c>
      <c r="T38" s="12">
        <v>3</v>
      </c>
      <c r="U38" s="12">
        <v>5</v>
      </c>
      <c r="V38" s="12">
        <f t="shared" si="0"/>
        <v>78</v>
      </c>
    </row>
    <row r="39" spans="1:22" ht="15.75" customHeight="1">
      <c r="A39" s="12">
        <v>31</v>
      </c>
      <c r="B39" s="12">
        <v>4</v>
      </c>
      <c r="C39" s="12">
        <v>4</v>
      </c>
      <c r="D39" s="12">
        <v>5</v>
      </c>
      <c r="E39" s="12">
        <v>5</v>
      </c>
      <c r="F39" s="12">
        <v>3</v>
      </c>
      <c r="G39" s="12">
        <v>3</v>
      </c>
      <c r="H39" s="12">
        <v>3</v>
      </c>
      <c r="I39" s="12">
        <v>3</v>
      </c>
      <c r="J39" s="12">
        <v>4</v>
      </c>
      <c r="K39" s="12">
        <v>5</v>
      </c>
      <c r="L39" s="12">
        <v>4</v>
      </c>
      <c r="M39" s="12">
        <v>5</v>
      </c>
      <c r="N39" s="12">
        <v>5</v>
      </c>
      <c r="O39" s="12">
        <v>4</v>
      </c>
      <c r="P39" s="12">
        <v>4</v>
      </c>
      <c r="Q39" s="12">
        <v>3</v>
      </c>
      <c r="R39" s="12">
        <v>3</v>
      </c>
      <c r="S39" s="12">
        <v>3</v>
      </c>
      <c r="T39" s="12">
        <v>4</v>
      </c>
      <c r="U39" s="12">
        <v>4</v>
      </c>
      <c r="V39" s="12">
        <f t="shared" si="0"/>
        <v>78</v>
      </c>
    </row>
    <row r="40" spans="1:22" ht="15.75" customHeight="1">
      <c r="A40" s="12">
        <v>32</v>
      </c>
      <c r="B40" s="12">
        <v>5</v>
      </c>
      <c r="C40" s="12">
        <v>5</v>
      </c>
      <c r="D40" s="12">
        <v>5</v>
      </c>
      <c r="E40" s="12">
        <v>5</v>
      </c>
      <c r="F40" s="12">
        <v>3</v>
      </c>
      <c r="G40" s="12">
        <v>3</v>
      </c>
      <c r="H40" s="12">
        <v>3</v>
      </c>
      <c r="I40" s="12">
        <v>3</v>
      </c>
      <c r="J40" s="12">
        <v>3</v>
      </c>
      <c r="K40" s="12">
        <v>5</v>
      </c>
      <c r="L40" s="12">
        <v>5</v>
      </c>
      <c r="M40" s="12">
        <v>5</v>
      </c>
      <c r="N40" s="12">
        <v>5</v>
      </c>
      <c r="O40" s="12">
        <v>3</v>
      </c>
      <c r="P40" s="12">
        <v>3</v>
      </c>
      <c r="Q40" s="12">
        <v>3</v>
      </c>
      <c r="R40" s="12">
        <v>3</v>
      </c>
      <c r="S40" s="12">
        <v>3</v>
      </c>
      <c r="T40" s="12">
        <v>3</v>
      </c>
      <c r="U40" s="12">
        <v>5</v>
      </c>
      <c r="V40" s="12">
        <f t="shared" si="0"/>
        <v>78</v>
      </c>
    </row>
    <row r="41" spans="1:22" ht="15.75" customHeight="1">
      <c r="A41" s="12">
        <v>33</v>
      </c>
      <c r="B41" s="12">
        <v>5</v>
      </c>
      <c r="C41" s="12">
        <v>5</v>
      </c>
      <c r="D41" s="12">
        <v>5</v>
      </c>
      <c r="E41" s="12">
        <v>5</v>
      </c>
      <c r="F41" s="12">
        <v>3</v>
      </c>
      <c r="G41" s="12">
        <v>3</v>
      </c>
      <c r="H41" s="12">
        <v>3</v>
      </c>
      <c r="I41" s="12">
        <v>3</v>
      </c>
      <c r="J41" s="12">
        <v>3</v>
      </c>
      <c r="K41" s="12">
        <v>5</v>
      </c>
      <c r="L41" s="12">
        <v>5</v>
      </c>
      <c r="M41" s="12">
        <v>5</v>
      </c>
      <c r="N41" s="12">
        <v>5</v>
      </c>
      <c r="O41" s="12">
        <v>3</v>
      </c>
      <c r="P41" s="12">
        <v>3</v>
      </c>
      <c r="Q41" s="12">
        <v>3</v>
      </c>
      <c r="R41" s="12">
        <v>3</v>
      </c>
      <c r="S41" s="12">
        <v>3</v>
      </c>
      <c r="T41" s="12">
        <v>3</v>
      </c>
      <c r="U41" s="12">
        <v>5</v>
      </c>
      <c r="V41" s="12">
        <f t="shared" si="0"/>
        <v>78</v>
      </c>
    </row>
    <row r="42" spans="1:22" ht="15.75" customHeight="1">
      <c r="A42" s="12">
        <v>34</v>
      </c>
      <c r="B42" s="12">
        <v>5</v>
      </c>
      <c r="C42" s="12">
        <v>5</v>
      </c>
      <c r="D42" s="12">
        <v>5</v>
      </c>
      <c r="E42" s="12">
        <v>5</v>
      </c>
      <c r="F42" s="12">
        <v>5</v>
      </c>
      <c r="G42" s="12">
        <v>4</v>
      </c>
      <c r="H42" s="12">
        <v>4</v>
      </c>
      <c r="I42" s="12">
        <v>4</v>
      </c>
      <c r="J42" s="12">
        <v>5</v>
      </c>
      <c r="K42" s="12">
        <v>5</v>
      </c>
      <c r="L42" s="12">
        <v>5</v>
      </c>
      <c r="M42" s="12">
        <v>4</v>
      </c>
      <c r="N42" s="12">
        <v>5</v>
      </c>
      <c r="O42" s="12">
        <v>5</v>
      </c>
      <c r="P42" s="12">
        <v>4</v>
      </c>
      <c r="Q42" s="12">
        <v>5</v>
      </c>
      <c r="R42" s="12">
        <v>4</v>
      </c>
      <c r="S42" s="12">
        <v>5</v>
      </c>
      <c r="T42" s="12">
        <v>4</v>
      </c>
      <c r="U42" s="12">
        <v>4</v>
      </c>
      <c r="V42" s="12">
        <f t="shared" si="0"/>
        <v>92</v>
      </c>
    </row>
    <row r="43" spans="1:22" ht="15.75" customHeight="1">
      <c r="A43" s="12">
        <v>35</v>
      </c>
      <c r="B43" s="12">
        <v>5</v>
      </c>
      <c r="C43" s="12">
        <v>5</v>
      </c>
      <c r="D43" s="12">
        <v>5</v>
      </c>
      <c r="E43" s="12">
        <v>5</v>
      </c>
      <c r="F43" s="12">
        <v>5</v>
      </c>
      <c r="G43" s="12">
        <v>5</v>
      </c>
      <c r="H43" s="12">
        <v>5</v>
      </c>
      <c r="I43" s="12">
        <v>5</v>
      </c>
      <c r="J43" s="12">
        <v>5</v>
      </c>
      <c r="K43" s="12">
        <v>5</v>
      </c>
      <c r="L43" s="12">
        <v>5</v>
      </c>
      <c r="M43" s="12">
        <v>5</v>
      </c>
      <c r="N43" s="12">
        <v>5</v>
      </c>
      <c r="O43" s="12">
        <v>5</v>
      </c>
      <c r="P43" s="12">
        <v>5</v>
      </c>
      <c r="Q43" s="12">
        <v>5</v>
      </c>
      <c r="R43" s="12">
        <v>5</v>
      </c>
      <c r="S43" s="12">
        <v>5</v>
      </c>
      <c r="T43" s="12">
        <v>5</v>
      </c>
      <c r="U43" s="12">
        <v>5</v>
      </c>
      <c r="V43" s="12">
        <f t="shared" si="0"/>
        <v>100</v>
      </c>
    </row>
    <row r="44" spans="1:22" ht="15.75" customHeight="1">
      <c r="A44" s="12">
        <v>36</v>
      </c>
      <c r="B44" s="12">
        <v>5</v>
      </c>
      <c r="C44" s="12">
        <v>4</v>
      </c>
      <c r="D44" s="12">
        <v>4</v>
      </c>
      <c r="E44" s="12">
        <v>4</v>
      </c>
      <c r="F44" s="12">
        <v>4</v>
      </c>
      <c r="G44" s="12">
        <v>4</v>
      </c>
      <c r="H44" s="12">
        <v>4</v>
      </c>
      <c r="I44" s="12">
        <v>4</v>
      </c>
      <c r="J44" s="12">
        <v>3</v>
      </c>
      <c r="K44" s="12">
        <v>3</v>
      </c>
      <c r="L44" s="12">
        <v>3</v>
      </c>
      <c r="M44" s="12">
        <v>4</v>
      </c>
      <c r="N44" s="12">
        <v>4</v>
      </c>
      <c r="O44" s="12">
        <v>4</v>
      </c>
      <c r="P44" s="12">
        <v>4</v>
      </c>
      <c r="Q44" s="12">
        <v>4</v>
      </c>
      <c r="R44" s="12">
        <v>4</v>
      </c>
      <c r="S44" s="12">
        <v>4</v>
      </c>
      <c r="T44" s="12">
        <v>4</v>
      </c>
      <c r="U44" s="12">
        <v>4</v>
      </c>
      <c r="V44" s="12">
        <f t="shared" si="0"/>
        <v>78</v>
      </c>
    </row>
    <row r="45" spans="1:22" ht="15.75" customHeight="1">
      <c r="A45" s="12">
        <v>37</v>
      </c>
      <c r="B45" s="12">
        <v>3</v>
      </c>
      <c r="C45" s="12">
        <v>3</v>
      </c>
      <c r="D45" s="12">
        <v>3</v>
      </c>
      <c r="E45" s="12">
        <v>3</v>
      </c>
      <c r="F45" s="12">
        <v>3</v>
      </c>
      <c r="G45" s="12">
        <v>3</v>
      </c>
      <c r="H45" s="12">
        <v>3</v>
      </c>
      <c r="I45" s="12">
        <v>5</v>
      </c>
      <c r="J45" s="12">
        <v>5</v>
      </c>
      <c r="K45" s="12">
        <v>5</v>
      </c>
      <c r="L45" s="12">
        <v>5</v>
      </c>
      <c r="M45" s="12">
        <v>5</v>
      </c>
      <c r="N45" s="12">
        <v>4</v>
      </c>
      <c r="O45" s="12">
        <v>5</v>
      </c>
      <c r="P45" s="12">
        <v>5</v>
      </c>
      <c r="Q45" s="12">
        <v>5</v>
      </c>
      <c r="R45" s="12">
        <v>5</v>
      </c>
      <c r="S45" s="12">
        <v>5</v>
      </c>
      <c r="T45" s="12">
        <v>5</v>
      </c>
      <c r="U45" s="12">
        <v>5</v>
      </c>
      <c r="V45" s="12">
        <f t="shared" si="0"/>
        <v>85</v>
      </c>
    </row>
    <row r="46" spans="1:22" ht="15.75" customHeight="1">
      <c r="A46" s="12">
        <v>38</v>
      </c>
      <c r="B46" s="12">
        <v>4</v>
      </c>
      <c r="C46" s="12">
        <v>3</v>
      </c>
      <c r="D46" s="12">
        <v>3</v>
      </c>
      <c r="E46" s="12">
        <v>3</v>
      </c>
      <c r="F46" s="12">
        <v>3</v>
      </c>
      <c r="G46" s="12">
        <v>3</v>
      </c>
      <c r="H46" s="12">
        <v>3</v>
      </c>
      <c r="I46" s="12">
        <v>5</v>
      </c>
      <c r="J46" s="12">
        <v>5</v>
      </c>
      <c r="K46" s="12">
        <v>3</v>
      </c>
      <c r="L46" s="12">
        <v>3</v>
      </c>
      <c r="M46" s="12">
        <v>3</v>
      </c>
      <c r="N46" s="12">
        <v>3</v>
      </c>
      <c r="O46" s="12">
        <v>3</v>
      </c>
      <c r="P46" s="12">
        <v>3</v>
      </c>
      <c r="Q46" s="12">
        <v>3</v>
      </c>
      <c r="R46" s="12">
        <v>5</v>
      </c>
      <c r="S46" s="12">
        <v>5</v>
      </c>
      <c r="T46" s="12">
        <v>5</v>
      </c>
      <c r="U46" s="12">
        <v>5</v>
      </c>
      <c r="V46" s="12">
        <f t="shared" si="0"/>
        <v>73</v>
      </c>
    </row>
    <row r="47" spans="1:22" ht="15.75" customHeight="1">
      <c r="A47" s="12">
        <v>39</v>
      </c>
      <c r="B47" s="12">
        <v>3</v>
      </c>
      <c r="C47" s="12">
        <v>3</v>
      </c>
      <c r="D47" s="12">
        <v>3</v>
      </c>
      <c r="E47" s="12">
        <v>3</v>
      </c>
      <c r="F47" s="12">
        <v>3</v>
      </c>
      <c r="G47" s="12">
        <v>3</v>
      </c>
      <c r="H47" s="12">
        <v>3</v>
      </c>
      <c r="I47" s="12">
        <v>5</v>
      </c>
      <c r="J47" s="12">
        <v>5</v>
      </c>
      <c r="K47" s="12">
        <v>3</v>
      </c>
      <c r="L47" s="12">
        <v>3</v>
      </c>
      <c r="M47" s="12">
        <v>3</v>
      </c>
      <c r="N47" s="12">
        <v>3</v>
      </c>
      <c r="O47" s="12">
        <v>3</v>
      </c>
      <c r="P47" s="12">
        <v>3</v>
      </c>
      <c r="Q47" s="12">
        <v>3</v>
      </c>
      <c r="R47" s="12">
        <v>5</v>
      </c>
      <c r="S47" s="12">
        <v>5</v>
      </c>
      <c r="T47" s="12">
        <v>5</v>
      </c>
      <c r="U47" s="12">
        <v>5</v>
      </c>
      <c r="V47" s="12">
        <f t="shared" si="0"/>
        <v>72</v>
      </c>
    </row>
    <row r="48" spans="1:22" ht="15.75" customHeight="1">
      <c r="A48" s="12">
        <v>40</v>
      </c>
      <c r="B48" s="12">
        <v>3</v>
      </c>
      <c r="C48" s="12">
        <v>3</v>
      </c>
      <c r="D48" s="12">
        <v>3</v>
      </c>
      <c r="E48" s="12">
        <v>3</v>
      </c>
      <c r="F48" s="12">
        <v>3</v>
      </c>
      <c r="G48" s="12">
        <v>3</v>
      </c>
      <c r="H48" s="12">
        <v>3</v>
      </c>
      <c r="I48" s="12">
        <v>5</v>
      </c>
      <c r="J48" s="12">
        <v>5</v>
      </c>
      <c r="K48" s="12">
        <v>3</v>
      </c>
      <c r="L48" s="12">
        <v>3</v>
      </c>
      <c r="M48" s="12">
        <v>3</v>
      </c>
      <c r="N48" s="12">
        <v>3</v>
      </c>
      <c r="O48" s="12">
        <v>3</v>
      </c>
      <c r="P48" s="12">
        <v>3</v>
      </c>
      <c r="Q48" s="12">
        <v>3</v>
      </c>
      <c r="R48" s="12">
        <v>5</v>
      </c>
      <c r="S48" s="12">
        <v>5</v>
      </c>
      <c r="T48" s="12">
        <v>5</v>
      </c>
      <c r="U48" s="12">
        <v>5</v>
      </c>
      <c r="V48" s="12">
        <f t="shared" si="0"/>
        <v>72</v>
      </c>
    </row>
    <row r="49" spans="1:22" ht="15.75" customHeight="1">
      <c r="A49" s="12">
        <v>41</v>
      </c>
      <c r="B49" s="12">
        <v>3</v>
      </c>
      <c r="C49" s="12">
        <v>3</v>
      </c>
      <c r="D49" s="12">
        <v>3</v>
      </c>
      <c r="E49" s="12">
        <v>3</v>
      </c>
      <c r="F49" s="12">
        <v>3</v>
      </c>
      <c r="G49" s="12">
        <v>3</v>
      </c>
      <c r="H49" s="12">
        <v>3</v>
      </c>
      <c r="I49" s="12">
        <v>5</v>
      </c>
      <c r="J49" s="12">
        <v>5</v>
      </c>
      <c r="K49" s="12">
        <v>3</v>
      </c>
      <c r="L49" s="12">
        <v>3</v>
      </c>
      <c r="M49" s="12">
        <v>3</v>
      </c>
      <c r="N49" s="12">
        <v>3</v>
      </c>
      <c r="O49" s="12">
        <v>3</v>
      </c>
      <c r="P49" s="12">
        <v>3</v>
      </c>
      <c r="Q49" s="12">
        <v>3</v>
      </c>
      <c r="R49" s="12">
        <v>5</v>
      </c>
      <c r="S49" s="12">
        <v>5</v>
      </c>
      <c r="T49" s="12">
        <v>5</v>
      </c>
      <c r="U49" s="12">
        <v>5</v>
      </c>
      <c r="V49" s="12">
        <f t="shared" si="0"/>
        <v>72</v>
      </c>
    </row>
    <row r="50" spans="1:22" ht="15.75" customHeight="1">
      <c r="A50" s="12">
        <v>42</v>
      </c>
      <c r="B50" s="12">
        <v>3</v>
      </c>
      <c r="C50" s="12">
        <v>3</v>
      </c>
      <c r="D50" s="12">
        <v>3</v>
      </c>
      <c r="E50" s="12">
        <v>3</v>
      </c>
      <c r="F50" s="12">
        <v>3</v>
      </c>
      <c r="G50" s="12">
        <v>3</v>
      </c>
      <c r="H50" s="12">
        <v>3</v>
      </c>
      <c r="I50" s="12">
        <v>5</v>
      </c>
      <c r="J50" s="12">
        <v>5</v>
      </c>
      <c r="K50" s="12">
        <v>3</v>
      </c>
      <c r="L50" s="12">
        <v>3</v>
      </c>
      <c r="M50" s="12">
        <v>3</v>
      </c>
      <c r="N50" s="12">
        <v>3</v>
      </c>
      <c r="O50" s="12">
        <v>3</v>
      </c>
      <c r="P50" s="12">
        <v>3</v>
      </c>
      <c r="Q50" s="12">
        <v>3</v>
      </c>
      <c r="R50" s="12">
        <v>5</v>
      </c>
      <c r="S50" s="12">
        <v>5</v>
      </c>
      <c r="T50" s="12">
        <v>5</v>
      </c>
      <c r="U50" s="12">
        <v>5</v>
      </c>
      <c r="V50" s="12">
        <f t="shared" si="0"/>
        <v>72</v>
      </c>
    </row>
    <row r="51" spans="1:22" ht="15.75" customHeight="1">
      <c r="A51" s="12">
        <v>43</v>
      </c>
      <c r="B51" s="12">
        <v>4</v>
      </c>
      <c r="C51" s="12">
        <v>3</v>
      </c>
      <c r="D51" s="12">
        <v>3</v>
      </c>
      <c r="E51" s="12">
        <v>4</v>
      </c>
      <c r="F51" s="12">
        <v>3</v>
      </c>
      <c r="G51" s="12">
        <v>3</v>
      </c>
      <c r="H51" s="12">
        <v>2</v>
      </c>
      <c r="I51" s="12">
        <v>3</v>
      </c>
      <c r="J51" s="12">
        <v>4</v>
      </c>
      <c r="K51" s="12">
        <v>4</v>
      </c>
      <c r="L51" s="12">
        <v>2</v>
      </c>
      <c r="M51" s="12">
        <v>2</v>
      </c>
      <c r="N51" s="12">
        <v>3</v>
      </c>
      <c r="O51" s="12">
        <v>1</v>
      </c>
      <c r="P51" s="12">
        <v>1</v>
      </c>
      <c r="Q51" s="12">
        <v>1</v>
      </c>
      <c r="R51" s="12">
        <v>3</v>
      </c>
      <c r="S51" s="12">
        <v>4</v>
      </c>
      <c r="T51" s="12">
        <v>4</v>
      </c>
      <c r="U51" s="12">
        <v>4</v>
      </c>
      <c r="V51" s="12">
        <f t="shared" si="0"/>
        <v>58</v>
      </c>
    </row>
    <row r="52" spans="1:22" ht="15.75" customHeight="1">
      <c r="A52" s="12">
        <v>44</v>
      </c>
      <c r="B52" s="12">
        <v>3</v>
      </c>
      <c r="C52" s="12">
        <v>3</v>
      </c>
      <c r="D52" s="12">
        <v>3</v>
      </c>
      <c r="E52" s="12">
        <v>3</v>
      </c>
      <c r="F52" s="12">
        <v>3</v>
      </c>
      <c r="G52" s="12">
        <v>3</v>
      </c>
      <c r="H52" s="12">
        <v>3</v>
      </c>
      <c r="I52" s="12">
        <v>5</v>
      </c>
      <c r="J52" s="12">
        <v>5</v>
      </c>
      <c r="K52" s="12">
        <v>5</v>
      </c>
      <c r="L52" s="12">
        <v>5</v>
      </c>
      <c r="M52" s="12">
        <v>5</v>
      </c>
      <c r="N52" s="12">
        <v>5</v>
      </c>
      <c r="O52" s="12">
        <v>5</v>
      </c>
      <c r="P52" s="12">
        <v>5</v>
      </c>
      <c r="Q52" s="12">
        <v>5</v>
      </c>
      <c r="R52" s="12">
        <v>5</v>
      </c>
      <c r="S52" s="12">
        <v>5</v>
      </c>
      <c r="T52" s="12">
        <v>5</v>
      </c>
      <c r="U52" s="12">
        <v>5</v>
      </c>
      <c r="V52" s="12">
        <f t="shared" si="0"/>
        <v>86</v>
      </c>
    </row>
    <row r="53" spans="1:22" ht="15.75" customHeight="1">
      <c r="A53" s="12">
        <v>45</v>
      </c>
      <c r="B53" s="12">
        <v>3</v>
      </c>
      <c r="C53" s="12">
        <v>3</v>
      </c>
      <c r="D53" s="12">
        <v>3</v>
      </c>
      <c r="E53" s="12">
        <v>3</v>
      </c>
      <c r="F53" s="12">
        <v>3</v>
      </c>
      <c r="G53" s="12">
        <v>3</v>
      </c>
      <c r="H53" s="12">
        <v>3</v>
      </c>
      <c r="I53" s="12">
        <v>1</v>
      </c>
      <c r="J53" s="12">
        <v>4</v>
      </c>
      <c r="K53" s="12">
        <v>4</v>
      </c>
      <c r="L53" s="12">
        <v>4</v>
      </c>
      <c r="M53" s="12">
        <v>4</v>
      </c>
      <c r="N53" s="12">
        <v>4</v>
      </c>
      <c r="O53" s="12">
        <v>5</v>
      </c>
      <c r="P53" s="12">
        <v>5</v>
      </c>
      <c r="Q53" s="12">
        <v>5</v>
      </c>
      <c r="R53" s="12">
        <v>5</v>
      </c>
      <c r="S53" s="12">
        <v>5</v>
      </c>
      <c r="T53" s="12">
        <v>5</v>
      </c>
      <c r="U53" s="12">
        <v>5</v>
      </c>
      <c r="V53" s="12">
        <f t="shared" si="0"/>
        <v>77</v>
      </c>
    </row>
    <row r="54" spans="1:22" ht="15.75" customHeight="1">
      <c r="A54" s="12">
        <v>46</v>
      </c>
      <c r="B54" s="12">
        <v>3</v>
      </c>
      <c r="C54" s="12">
        <v>3</v>
      </c>
      <c r="D54" s="12">
        <v>3</v>
      </c>
      <c r="E54" s="12">
        <v>3</v>
      </c>
      <c r="F54" s="12">
        <v>3</v>
      </c>
      <c r="G54" s="12">
        <v>3</v>
      </c>
      <c r="H54" s="12">
        <v>3</v>
      </c>
      <c r="I54" s="12">
        <v>5</v>
      </c>
      <c r="J54" s="12">
        <v>4</v>
      </c>
      <c r="K54" s="12">
        <v>4</v>
      </c>
      <c r="L54" s="12">
        <v>4</v>
      </c>
      <c r="M54" s="12">
        <v>4</v>
      </c>
      <c r="N54" s="12">
        <v>4</v>
      </c>
      <c r="O54" s="12">
        <v>5</v>
      </c>
      <c r="P54" s="12">
        <v>5</v>
      </c>
      <c r="Q54" s="12">
        <v>5</v>
      </c>
      <c r="R54" s="12">
        <v>5</v>
      </c>
      <c r="S54" s="12">
        <v>5</v>
      </c>
      <c r="T54" s="12">
        <v>5</v>
      </c>
      <c r="U54" s="12">
        <v>5</v>
      </c>
      <c r="V54" s="12">
        <f t="shared" si="0"/>
        <v>81</v>
      </c>
    </row>
    <row r="55" spans="1:22" ht="15.75" customHeight="1">
      <c r="A55" s="12">
        <v>47</v>
      </c>
      <c r="B55" s="12">
        <v>3</v>
      </c>
      <c r="C55" s="12">
        <v>3</v>
      </c>
      <c r="D55" s="12">
        <v>3</v>
      </c>
      <c r="E55" s="12">
        <v>3</v>
      </c>
      <c r="F55" s="12">
        <v>3</v>
      </c>
      <c r="G55" s="12">
        <v>3</v>
      </c>
      <c r="H55" s="12">
        <v>3</v>
      </c>
      <c r="I55" s="12">
        <v>5</v>
      </c>
      <c r="J55" s="12">
        <v>4</v>
      </c>
      <c r="K55" s="12">
        <v>4</v>
      </c>
      <c r="L55" s="12">
        <v>4</v>
      </c>
      <c r="M55" s="12">
        <v>4</v>
      </c>
      <c r="N55" s="12">
        <v>4</v>
      </c>
      <c r="O55" s="12">
        <v>4</v>
      </c>
      <c r="P55" s="12">
        <v>4</v>
      </c>
      <c r="Q55" s="12">
        <v>4</v>
      </c>
      <c r="R55" s="12">
        <v>4</v>
      </c>
      <c r="S55" s="12">
        <v>4</v>
      </c>
      <c r="T55" s="12">
        <v>4</v>
      </c>
      <c r="U55" s="12">
        <v>4</v>
      </c>
      <c r="V55" s="12">
        <f t="shared" si="0"/>
        <v>74</v>
      </c>
    </row>
    <row r="56" spans="1:22" ht="15.75" customHeight="1">
      <c r="A56" s="12">
        <v>48</v>
      </c>
      <c r="B56" s="12">
        <v>3</v>
      </c>
      <c r="C56" s="12">
        <v>4</v>
      </c>
      <c r="D56" s="12">
        <v>3</v>
      </c>
      <c r="E56" s="12">
        <v>4</v>
      </c>
      <c r="F56" s="12">
        <v>4</v>
      </c>
      <c r="G56" s="12">
        <v>3</v>
      </c>
      <c r="H56" s="12">
        <v>4</v>
      </c>
      <c r="I56" s="12">
        <v>4</v>
      </c>
      <c r="J56" s="12">
        <v>4</v>
      </c>
      <c r="K56" s="12">
        <v>4</v>
      </c>
      <c r="L56" s="12">
        <v>4</v>
      </c>
      <c r="M56" s="12">
        <v>4</v>
      </c>
      <c r="N56" s="12">
        <v>4</v>
      </c>
      <c r="O56" s="12">
        <v>5</v>
      </c>
      <c r="P56" s="12">
        <v>5</v>
      </c>
      <c r="Q56" s="12">
        <v>5</v>
      </c>
      <c r="R56" s="12">
        <v>5</v>
      </c>
      <c r="S56" s="12">
        <v>5</v>
      </c>
      <c r="T56" s="12">
        <v>5</v>
      </c>
      <c r="U56" s="12">
        <v>5</v>
      </c>
      <c r="V56" s="12">
        <f t="shared" si="0"/>
        <v>84</v>
      </c>
    </row>
    <row r="57" spans="1:22" ht="15.75" customHeight="1">
      <c r="A57" s="12">
        <v>49</v>
      </c>
      <c r="B57" s="12">
        <v>5</v>
      </c>
      <c r="C57" s="12">
        <v>5</v>
      </c>
      <c r="D57" s="12">
        <v>5</v>
      </c>
      <c r="E57" s="12">
        <v>5</v>
      </c>
      <c r="F57" s="12">
        <v>5</v>
      </c>
      <c r="G57" s="12">
        <v>5</v>
      </c>
      <c r="H57" s="12">
        <v>4</v>
      </c>
      <c r="I57" s="12">
        <v>5</v>
      </c>
      <c r="J57" s="12">
        <v>4</v>
      </c>
      <c r="K57" s="12">
        <v>4</v>
      </c>
      <c r="L57" s="12">
        <v>4</v>
      </c>
      <c r="M57" s="12">
        <v>4</v>
      </c>
      <c r="N57" s="12">
        <v>4</v>
      </c>
      <c r="O57" s="12">
        <v>5</v>
      </c>
      <c r="P57" s="12">
        <v>5</v>
      </c>
      <c r="Q57" s="12">
        <v>5</v>
      </c>
      <c r="R57" s="12">
        <v>5</v>
      </c>
      <c r="S57" s="12">
        <v>5</v>
      </c>
      <c r="T57" s="12">
        <v>5</v>
      </c>
      <c r="U57" s="12">
        <v>5</v>
      </c>
      <c r="V57" s="12">
        <f t="shared" si="0"/>
        <v>94</v>
      </c>
    </row>
    <row r="58" spans="1:22" ht="15.75" customHeight="1">
      <c r="A58" s="12">
        <v>50</v>
      </c>
      <c r="B58" s="12">
        <v>5</v>
      </c>
      <c r="C58" s="12">
        <v>5</v>
      </c>
      <c r="D58" s="12">
        <v>5</v>
      </c>
      <c r="E58" s="12">
        <v>5</v>
      </c>
      <c r="F58" s="12">
        <v>5</v>
      </c>
      <c r="G58" s="12">
        <v>4</v>
      </c>
      <c r="H58" s="12">
        <v>4</v>
      </c>
      <c r="I58" s="12">
        <v>4</v>
      </c>
      <c r="J58" s="12">
        <v>4</v>
      </c>
      <c r="K58" s="12">
        <v>4</v>
      </c>
      <c r="L58" s="12">
        <v>4</v>
      </c>
      <c r="M58" s="12">
        <v>4</v>
      </c>
      <c r="N58" s="12">
        <v>4</v>
      </c>
      <c r="O58" s="12">
        <v>5</v>
      </c>
      <c r="P58" s="12">
        <v>5</v>
      </c>
      <c r="Q58" s="12">
        <v>5</v>
      </c>
      <c r="R58" s="12">
        <v>5</v>
      </c>
      <c r="S58" s="12">
        <v>5</v>
      </c>
      <c r="T58" s="12">
        <v>5</v>
      </c>
      <c r="U58" s="12">
        <v>5</v>
      </c>
      <c r="V58" s="12">
        <f t="shared" si="0"/>
        <v>92</v>
      </c>
    </row>
    <row r="59" spans="1:22" ht="15.75" customHeight="1">
      <c r="A59" s="12">
        <v>51</v>
      </c>
      <c r="B59" s="12">
        <v>5</v>
      </c>
      <c r="C59" s="12">
        <v>5</v>
      </c>
      <c r="D59" s="12">
        <v>5</v>
      </c>
      <c r="E59" s="12">
        <v>5</v>
      </c>
      <c r="F59" s="12">
        <v>5</v>
      </c>
      <c r="G59" s="12">
        <v>5</v>
      </c>
      <c r="H59" s="12">
        <v>5</v>
      </c>
      <c r="I59" s="12">
        <v>5</v>
      </c>
      <c r="J59" s="12">
        <v>4</v>
      </c>
      <c r="K59" s="12">
        <v>4</v>
      </c>
      <c r="L59" s="12">
        <v>4</v>
      </c>
      <c r="M59" s="12">
        <v>4</v>
      </c>
      <c r="N59" s="12">
        <v>4</v>
      </c>
      <c r="O59" s="12">
        <v>5</v>
      </c>
      <c r="P59" s="12">
        <v>5</v>
      </c>
      <c r="Q59" s="12">
        <v>5</v>
      </c>
      <c r="R59" s="12">
        <v>5</v>
      </c>
      <c r="S59" s="12">
        <v>5</v>
      </c>
      <c r="T59" s="12">
        <v>5</v>
      </c>
      <c r="U59" s="12">
        <v>5</v>
      </c>
      <c r="V59" s="12">
        <f t="shared" si="0"/>
        <v>95</v>
      </c>
    </row>
    <row r="60" spans="1:22" ht="15.75" customHeight="1">
      <c r="A60" s="12">
        <v>52</v>
      </c>
      <c r="B60" s="12">
        <v>4</v>
      </c>
      <c r="C60" s="12">
        <v>4</v>
      </c>
      <c r="D60" s="12">
        <v>4</v>
      </c>
      <c r="E60" s="12">
        <v>4</v>
      </c>
      <c r="F60" s="12">
        <v>4</v>
      </c>
      <c r="G60" s="12">
        <v>4</v>
      </c>
      <c r="H60" s="12">
        <v>4</v>
      </c>
      <c r="I60" s="12">
        <v>4</v>
      </c>
      <c r="J60" s="12">
        <v>4</v>
      </c>
      <c r="K60" s="12">
        <v>4</v>
      </c>
      <c r="L60" s="12">
        <v>4</v>
      </c>
      <c r="M60" s="12">
        <v>4</v>
      </c>
      <c r="N60" s="12">
        <v>4</v>
      </c>
      <c r="O60" s="12">
        <v>5</v>
      </c>
      <c r="P60" s="12">
        <v>5</v>
      </c>
      <c r="Q60" s="12">
        <v>5</v>
      </c>
      <c r="R60" s="12">
        <v>5</v>
      </c>
      <c r="S60" s="12">
        <v>5</v>
      </c>
      <c r="T60" s="12">
        <v>4</v>
      </c>
      <c r="U60" s="12">
        <v>4</v>
      </c>
      <c r="V60" s="12">
        <f t="shared" si="0"/>
        <v>85</v>
      </c>
    </row>
    <row r="61" spans="1:22" ht="15.75" customHeight="1">
      <c r="A61" s="12">
        <v>53</v>
      </c>
      <c r="B61" s="12">
        <v>5</v>
      </c>
      <c r="C61" s="12">
        <v>5</v>
      </c>
      <c r="D61" s="12">
        <v>5</v>
      </c>
      <c r="E61" s="12">
        <v>5</v>
      </c>
      <c r="F61" s="12">
        <v>5</v>
      </c>
      <c r="G61" s="12">
        <v>5</v>
      </c>
      <c r="H61" s="12">
        <v>5</v>
      </c>
      <c r="I61" s="12">
        <v>5</v>
      </c>
      <c r="J61" s="12">
        <v>4</v>
      </c>
      <c r="K61" s="12">
        <v>4</v>
      </c>
      <c r="L61" s="12">
        <v>4</v>
      </c>
      <c r="M61" s="12">
        <v>4</v>
      </c>
      <c r="N61" s="12">
        <v>4</v>
      </c>
      <c r="O61" s="12">
        <v>5</v>
      </c>
      <c r="P61" s="12">
        <v>5</v>
      </c>
      <c r="Q61" s="12">
        <v>5</v>
      </c>
      <c r="R61" s="12">
        <v>5</v>
      </c>
      <c r="S61" s="12">
        <v>5</v>
      </c>
      <c r="T61" s="12">
        <v>4</v>
      </c>
      <c r="U61" s="12">
        <v>4</v>
      </c>
      <c r="V61" s="12">
        <f t="shared" si="0"/>
        <v>93</v>
      </c>
    </row>
    <row r="62" spans="1:22" ht="15.75" customHeight="1">
      <c r="A62" s="12">
        <v>54</v>
      </c>
      <c r="B62" s="12">
        <v>5</v>
      </c>
      <c r="C62" s="12">
        <v>5</v>
      </c>
      <c r="D62" s="12">
        <v>5</v>
      </c>
      <c r="E62" s="12">
        <v>4</v>
      </c>
      <c r="F62" s="12">
        <v>5</v>
      </c>
      <c r="G62" s="12">
        <v>5</v>
      </c>
      <c r="H62" s="12">
        <v>5</v>
      </c>
      <c r="I62" s="12">
        <v>5</v>
      </c>
      <c r="J62" s="12">
        <v>4</v>
      </c>
      <c r="K62" s="12">
        <v>4</v>
      </c>
      <c r="L62" s="12">
        <v>4</v>
      </c>
      <c r="M62" s="12">
        <v>4</v>
      </c>
      <c r="N62" s="12">
        <v>4</v>
      </c>
      <c r="O62" s="12">
        <v>5</v>
      </c>
      <c r="P62" s="12">
        <v>5</v>
      </c>
      <c r="Q62" s="12">
        <v>5</v>
      </c>
      <c r="R62" s="12">
        <v>5</v>
      </c>
      <c r="S62" s="12">
        <v>5</v>
      </c>
      <c r="T62" s="12">
        <v>5</v>
      </c>
      <c r="U62" s="12">
        <v>5</v>
      </c>
      <c r="V62" s="12">
        <f t="shared" si="0"/>
        <v>94</v>
      </c>
    </row>
    <row r="63" spans="1:22" ht="15.75" customHeight="1">
      <c r="A63" s="12">
        <v>55</v>
      </c>
      <c r="B63" s="12">
        <v>5</v>
      </c>
      <c r="C63" s="12">
        <v>5</v>
      </c>
      <c r="D63" s="12">
        <v>5</v>
      </c>
      <c r="E63" s="12">
        <v>5</v>
      </c>
      <c r="F63" s="12">
        <v>5</v>
      </c>
      <c r="G63" s="12">
        <v>5</v>
      </c>
      <c r="H63" s="12">
        <v>5</v>
      </c>
      <c r="I63" s="12">
        <v>5</v>
      </c>
      <c r="J63" s="12">
        <v>5</v>
      </c>
      <c r="K63" s="12">
        <v>5</v>
      </c>
      <c r="L63" s="12">
        <v>5</v>
      </c>
      <c r="M63" s="12">
        <v>5</v>
      </c>
      <c r="N63" s="12">
        <v>5</v>
      </c>
      <c r="O63" s="12">
        <v>5</v>
      </c>
      <c r="P63" s="12">
        <v>5</v>
      </c>
      <c r="Q63" s="12">
        <v>5</v>
      </c>
      <c r="R63" s="12">
        <v>5</v>
      </c>
      <c r="S63" s="12">
        <v>5</v>
      </c>
      <c r="T63" s="12">
        <v>5</v>
      </c>
      <c r="U63" s="12">
        <v>5</v>
      </c>
      <c r="V63" s="12">
        <f t="shared" si="0"/>
        <v>100</v>
      </c>
    </row>
    <row r="64" spans="1:22" ht="15.75" customHeight="1">
      <c r="A64" s="12">
        <v>56</v>
      </c>
      <c r="B64" s="12">
        <v>4</v>
      </c>
      <c r="C64" s="12">
        <v>4</v>
      </c>
      <c r="D64" s="12">
        <v>4</v>
      </c>
      <c r="E64" s="12">
        <v>5</v>
      </c>
      <c r="F64" s="12">
        <v>4</v>
      </c>
      <c r="G64" s="12">
        <v>4</v>
      </c>
      <c r="H64" s="12">
        <v>4</v>
      </c>
      <c r="I64" s="12">
        <v>4</v>
      </c>
      <c r="J64" s="12">
        <v>4</v>
      </c>
      <c r="K64" s="12">
        <v>4</v>
      </c>
      <c r="L64" s="12">
        <v>4</v>
      </c>
      <c r="M64" s="12">
        <v>5</v>
      </c>
      <c r="N64" s="12">
        <v>5</v>
      </c>
      <c r="O64" s="12">
        <v>5</v>
      </c>
      <c r="P64" s="12">
        <v>5</v>
      </c>
      <c r="Q64" s="12">
        <v>5</v>
      </c>
      <c r="R64" s="12">
        <v>5</v>
      </c>
      <c r="S64" s="12">
        <v>5</v>
      </c>
      <c r="T64" s="12">
        <v>4</v>
      </c>
      <c r="U64" s="12">
        <v>4</v>
      </c>
      <c r="V64" s="12">
        <f t="shared" si="0"/>
        <v>88</v>
      </c>
    </row>
    <row r="65" spans="1:23" ht="15.75" customHeight="1">
      <c r="A65" s="12">
        <v>57</v>
      </c>
      <c r="B65" s="12">
        <v>5</v>
      </c>
      <c r="C65" s="12">
        <v>4</v>
      </c>
      <c r="D65" s="12">
        <v>4</v>
      </c>
      <c r="E65" s="12">
        <v>4</v>
      </c>
      <c r="F65" s="12">
        <v>5</v>
      </c>
      <c r="G65" s="12">
        <v>4</v>
      </c>
      <c r="H65" s="12">
        <v>5</v>
      </c>
      <c r="I65" s="12">
        <v>4</v>
      </c>
      <c r="J65" s="12">
        <v>4</v>
      </c>
      <c r="K65" s="12">
        <v>4</v>
      </c>
      <c r="L65" s="12">
        <v>4</v>
      </c>
      <c r="M65" s="12">
        <v>4</v>
      </c>
      <c r="N65" s="12">
        <v>4</v>
      </c>
      <c r="O65" s="12">
        <v>5</v>
      </c>
      <c r="P65" s="12">
        <v>4</v>
      </c>
      <c r="Q65" s="12">
        <v>5</v>
      </c>
      <c r="R65" s="12">
        <v>4</v>
      </c>
      <c r="S65" s="12">
        <v>5</v>
      </c>
      <c r="T65" s="12">
        <v>5</v>
      </c>
      <c r="U65" s="12">
        <v>4</v>
      </c>
      <c r="V65" s="12">
        <f t="shared" si="0"/>
        <v>87</v>
      </c>
    </row>
    <row r="66" spans="1:23" ht="15.75" customHeight="1">
      <c r="A66" s="12">
        <v>58</v>
      </c>
      <c r="B66" s="12">
        <v>5</v>
      </c>
      <c r="C66" s="12">
        <v>5</v>
      </c>
      <c r="D66" s="12">
        <v>5</v>
      </c>
      <c r="E66" s="12">
        <v>5</v>
      </c>
      <c r="F66" s="12">
        <v>5</v>
      </c>
      <c r="G66" s="12">
        <v>5</v>
      </c>
      <c r="H66" s="12">
        <v>5</v>
      </c>
      <c r="I66" s="12">
        <v>5</v>
      </c>
      <c r="J66" s="12">
        <v>5</v>
      </c>
      <c r="K66" s="12">
        <v>5</v>
      </c>
      <c r="L66" s="12">
        <v>5</v>
      </c>
      <c r="M66" s="12">
        <v>5</v>
      </c>
      <c r="N66" s="12">
        <v>5</v>
      </c>
      <c r="O66" s="12">
        <v>5</v>
      </c>
      <c r="P66" s="12">
        <v>5</v>
      </c>
      <c r="Q66" s="12">
        <v>5</v>
      </c>
      <c r="R66" s="12">
        <v>5</v>
      </c>
      <c r="S66" s="12">
        <v>5</v>
      </c>
      <c r="T66" s="12">
        <v>5</v>
      </c>
      <c r="U66" s="12">
        <v>5</v>
      </c>
      <c r="V66" s="12">
        <f t="shared" si="0"/>
        <v>100</v>
      </c>
    </row>
    <row r="67" spans="1:23" ht="15.75" customHeight="1">
      <c r="A67" s="13" t="s">
        <v>22</v>
      </c>
      <c r="B67" s="12">
        <f t="shared" ref="B67:U67" si="1">SUM(B9:B66)</f>
        <v>250</v>
      </c>
      <c r="C67" s="12">
        <f t="shared" si="1"/>
        <v>246</v>
      </c>
      <c r="D67" s="12">
        <f t="shared" si="1"/>
        <v>246</v>
      </c>
      <c r="E67" s="12">
        <f t="shared" si="1"/>
        <v>251</v>
      </c>
      <c r="F67" s="12">
        <f t="shared" si="1"/>
        <v>238</v>
      </c>
      <c r="G67" s="12">
        <f t="shared" si="1"/>
        <v>233</v>
      </c>
      <c r="H67" s="12">
        <f t="shared" si="1"/>
        <v>237</v>
      </c>
      <c r="I67" s="12">
        <f t="shared" si="1"/>
        <v>234</v>
      </c>
      <c r="J67" s="12">
        <f t="shared" si="1"/>
        <v>230</v>
      </c>
      <c r="K67" s="12">
        <f t="shared" si="1"/>
        <v>228</v>
      </c>
      <c r="L67" s="12">
        <f t="shared" si="1"/>
        <v>229</v>
      </c>
      <c r="M67" s="12">
        <f t="shared" si="1"/>
        <v>230</v>
      </c>
      <c r="N67" s="12">
        <f t="shared" si="1"/>
        <v>234</v>
      </c>
      <c r="O67" s="12">
        <f t="shared" si="1"/>
        <v>226</v>
      </c>
      <c r="P67" s="12">
        <f t="shared" si="1"/>
        <v>221</v>
      </c>
      <c r="Q67" s="12">
        <f t="shared" si="1"/>
        <v>218</v>
      </c>
      <c r="R67" s="12">
        <f t="shared" si="1"/>
        <v>234</v>
      </c>
      <c r="S67" s="12">
        <f t="shared" si="1"/>
        <v>232</v>
      </c>
      <c r="T67" s="12">
        <f t="shared" si="1"/>
        <v>230</v>
      </c>
      <c r="U67" s="12">
        <f t="shared" si="1"/>
        <v>269</v>
      </c>
      <c r="V67" s="12">
        <f t="shared" si="0"/>
        <v>4716</v>
      </c>
      <c r="W67" s="14"/>
    </row>
    <row r="68" spans="1:23" ht="15.75" customHeight="1">
      <c r="A68" s="13" t="s">
        <v>23</v>
      </c>
      <c r="B68" s="43">
        <f>B67/58</f>
        <v>4.31034482758621</v>
      </c>
      <c r="C68" s="43">
        <f t="shared" ref="C68:U68" si="2">C67/58</f>
        <v>4.2413793103448301</v>
      </c>
      <c r="D68" s="43">
        <f t="shared" si="2"/>
        <v>4.2413793103448301</v>
      </c>
      <c r="E68" s="43">
        <f t="shared" si="2"/>
        <v>4.3275862068965498</v>
      </c>
      <c r="F68" s="43">
        <f t="shared" si="2"/>
        <v>4.1034482758620703</v>
      </c>
      <c r="G68" s="43">
        <f t="shared" si="2"/>
        <v>4.0172413793103496</v>
      </c>
      <c r="H68" s="43">
        <f t="shared" si="2"/>
        <v>4.0862068965517198</v>
      </c>
      <c r="I68" s="43">
        <f t="shared" si="2"/>
        <v>4.0344827586206904</v>
      </c>
      <c r="J68" s="43">
        <f t="shared" si="2"/>
        <v>3.9655172413793101</v>
      </c>
      <c r="K68" s="43">
        <f t="shared" si="2"/>
        <v>3.9310344827586201</v>
      </c>
      <c r="L68" s="43">
        <f t="shared" si="2"/>
        <v>3.9482758620689702</v>
      </c>
      <c r="M68" s="43">
        <f t="shared" si="2"/>
        <v>3.9655172413793101</v>
      </c>
      <c r="N68" s="43">
        <f t="shared" si="2"/>
        <v>4.0344827586206904</v>
      </c>
      <c r="O68" s="43">
        <f t="shared" si="2"/>
        <v>3.8965517241379302</v>
      </c>
      <c r="P68" s="43">
        <f t="shared" si="2"/>
        <v>3.81034482758621</v>
      </c>
      <c r="Q68" s="43">
        <f t="shared" si="2"/>
        <v>3.7586206896551699</v>
      </c>
      <c r="R68" s="43">
        <f t="shared" si="2"/>
        <v>4.0344827586206904</v>
      </c>
      <c r="S68" s="43">
        <f t="shared" si="2"/>
        <v>4</v>
      </c>
      <c r="T68" s="43">
        <f t="shared" si="2"/>
        <v>3.9655172413793101</v>
      </c>
      <c r="U68" s="43">
        <f t="shared" si="2"/>
        <v>4.6379310344827598</v>
      </c>
      <c r="V68" s="36">
        <f>ROUND((V67/58/20),2)</f>
        <v>4.07</v>
      </c>
    </row>
    <row r="69" spans="1:23" ht="15.75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9"/>
      <c r="U69" s="19"/>
      <c r="V69" s="27"/>
    </row>
    <row r="70" spans="1:23">
      <c r="A70" s="99" t="s">
        <v>8</v>
      </c>
      <c r="B70" s="20">
        <v>1.1000000000000001</v>
      </c>
      <c r="C70" s="20">
        <v>1.2</v>
      </c>
      <c r="D70" s="20">
        <v>1.3</v>
      </c>
      <c r="E70" s="20">
        <v>1.4</v>
      </c>
      <c r="F70" s="20">
        <v>1.5</v>
      </c>
      <c r="G70" s="20">
        <v>2.1</v>
      </c>
      <c r="H70" s="20">
        <v>2.2000000000000002</v>
      </c>
      <c r="I70" s="20">
        <v>2.2999999999999998</v>
      </c>
      <c r="J70" s="20">
        <v>2.4</v>
      </c>
      <c r="K70" s="20">
        <v>2.5</v>
      </c>
      <c r="L70" s="20">
        <v>3.1</v>
      </c>
      <c r="M70" s="20">
        <v>3.2</v>
      </c>
      <c r="N70" s="20">
        <v>3.3</v>
      </c>
      <c r="O70" s="20">
        <v>3.4</v>
      </c>
      <c r="P70" s="20">
        <v>3.5</v>
      </c>
      <c r="Q70" s="20">
        <v>4.0999999999999996</v>
      </c>
      <c r="R70" s="20">
        <v>4.2</v>
      </c>
      <c r="S70" s="20">
        <v>4.3</v>
      </c>
      <c r="T70" s="20">
        <v>4.4000000000000004</v>
      </c>
      <c r="U70" s="20">
        <v>4.5</v>
      </c>
      <c r="V70" s="102" t="s">
        <v>7</v>
      </c>
    </row>
    <row r="71" spans="1:23">
      <c r="A71" s="100"/>
      <c r="B71" s="89" t="s">
        <v>9</v>
      </c>
      <c r="C71" s="89"/>
      <c r="D71" s="89"/>
      <c r="E71" s="89"/>
      <c r="F71" s="89"/>
      <c r="G71" s="90" t="s">
        <v>10</v>
      </c>
      <c r="H71" s="90"/>
      <c r="I71" s="90"/>
      <c r="J71" s="90"/>
      <c r="K71" s="90"/>
      <c r="L71" s="90" t="s">
        <v>11</v>
      </c>
      <c r="M71" s="90"/>
      <c r="N71" s="90"/>
      <c r="O71" s="90"/>
      <c r="P71" s="90"/>
      <c r="Q71" s="90" t="s">
        <v>12</v>
      </c>
      <c r="R71" s="90"/>
      <c r="S71" s="90"/>
      <c r="T71" s="90"/>
      <c r="U71" s="90"/>
      <c r="V71" s="103"/>
    </row>
    <row r="72" spans="1:23" ht="15.75">
      <c r="A72" s="101"/>
      <c r="B72" s="21">
        <v>4.31034482758621</v>
      </c>
      <c r="C72" s="21">
        <v>4.2413793103448301</v>
      </c>
      <c r="D72" s="21">
        <v>4.2413793103448301</v>
      </c>
      <c r="E72" s="21">
        <v>4.3275862068965498</v>
      </c>
      <c r="F72" s="21">
        <v>4.1034482758620703</v>
      </c>
      <c r="G72" s="21">
        <v>4.0172413793103496</v>
      </c>
      <c r="H72" s="21">
        <v>4.0862068965517198</v>
      </c>
      <c r="I72" s="21">
        <v>4.0344827586206904</v>
      </c>
      <c r="J72" s="21">
        <v>3.9655172413793101</v>
      </c>
      <c r="K72" s="21">
        <v>3.9310344827586201</v>
      </c>
      <c r="L72" s="21">
        <v>3.9482758620689702</v>
      </c>
      <c r="M72" s="21">
        <v>3.9655172413793101</v>
      </c>
      <c r="N72" s="21">
        <v>4.0344827586206904</v>
      </c>
      <c r="O72" s="21">
        <v>3.8965517241379302</v>
      </c>
      <c r="P72" s="21">
        <v>3.81034482758621</v>
      </c>
      <c r="Q72" s="21">
        <v>3.7586206896551699</v>
      </c>
      <c r="R72" s="21">
        <v>4.0344827586206904</v>
      </c>
      <c r="S72" s="21">
        <v>4</v>
      </c>
      <c r="T72" s="21">
        <v>3.9655172413793101</v>
      </c>
      <c r="U72" s="79">
        <v>4.6379310344827598</v>
      </c>
      <c r="V72" s="36">
        <v>4.07</v>
      </c>
    </row>
    <row r="73" spans="1:23">
      <c r="A73" s="92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2"/>
    </row>
    <row r="74" spans="1:23" ht="27.75" customHeight="1">
      <c r="A74" s="23" t="s">
        <v>13</v>
      </c>
      <c r="B74" s="24">
        <v>1.1000000000000001</v>
      </c>
      <c r="C74" s="24">
        <v>1.2</v>
      </c>
      <c r="D74" s="24">
        <v>1.3</v>
      </c>
      <c r="E74" s="24">
        <v>1.4</v>
      </c>
      <c r="F74" s="24">
        <v>1.5</v>
      </c>
      <c r="G74" s="24">
        <v>2.1</v>
      </c>
      <c r="H74" s="24">
        <v>2.2000000000000002</v>
      </c>
      <c r="I74" s="24">
        <v>2.2999999999999998</v>
      </c>
      <c r="J74" s="24">
        <v>2.4</v>
      </c>
      <c r="K74" s="24">
        <v>2.5</v>
      </c>
      <c r="L74" s="24">
        <v>3.1</v>
      </c>
      <c r="M74" s="24">
        <v>3.2</v>
      </c>
      <c r="N74" s="24">
        <v>3.3</v>
      </c>
      <c r="O74" s="24">
        <v>3.4</v>
      </c>
      <c r="P74" s="24">
        <v>3.5</v>
      </c>
      <c r="Q74" s="24">
        <v>4.0999999999999996</v>
      </c>
      <c r="R74" s="24">
        <v>4.2</v>
      </c>
      <c r="S74" s="24">
        <v>4.3</v>
      </c>
      <c r="T74" s="24">
        <v>4.4000000000000004</v>
      </c>
      <c r="U74" s="24">
        <v>4.5</v>
      </c>
      <c r="V74" s="24" t="s">
        <v>6</v>
      </c>
    </row>
    <row r="75" spans="1:23" ht="17.25" customHeight="1">
      <c r="A75" s="20">
        <v>5</v>
      </c>
      <c r="B75" s="25">
        <f t="shared" ref="B75:U75" si="3">COUNTIF(B9:B66,5)</f>
        <v>30</v>
      </c>
      <c r="C75" s="25">
        <f t="shared" si="3"/>
        <v>29</v>
      </c>
      <c r="D75" s="25">
        <f t="shared" si="3"/>
        <v>32</v>
      </c>
      <c r="E75" s="25">
        <f t="shared" si="3"/>
        <v>31</v>
      </c>
      <c r="F75" s="25">
        <f t="shared" si="3"/>
        <v>27</v>
      </c>
      <c r="G75" s="25">
        <f t="shared" si="3"/>
        <v>22</v>
      </c>
      <c r="H75" s="25">
        <f t="shared" si="3"/>
        <v>26</v>
      </c>
      <c r="I75" s="25">
        <f t="shared" si="3"/>
        <v>22</v>
      </c>
      <c r="J75" s="25">
        <f t="shared" si="3"/>
        <v>17</v>
      </c>
      <c r="K75" s="25">
        <f t="shared" si="3"/>
        <v>18</v>
      </c>
      <c r="L75" s="25">
        <f t="shared" si="3"/>
        <v>17</v>
      </c>
      <c r="M75" s="25">
        <f t="shared" si="3"/>
        <v>18</v>
      </c>
      <c r="N75" s="25">
        <f t="shared" si="3"/>
        <v>19</v>
      </c>
      <c r="O75" s="25">
        <f t="shared" si="3"/>
        <v>20</v>
      </c>
      <c r="P75" s="25">
        <f t="shared" si="3"/>
        <v>17</v>
      </c>
      <c r="Q75" s="25">
        <f t="shared" si="3"/>
        <v>20</v>
      </c>
      <c r="R75" s="25">
        <f t="shared" si="3"/>
        <v>23</v>
      </c>
      <c r="S75" s="25">
        <f t="shared" si="3"/>
        <v>24</v>
      </c>
      <c r="T75" s="25">
        <f t="shared" si="3"/>
        <v>21</v>
      </c>
      <c r="U75" s="25">
        <f t="shared" si="3"/>
        <v>40</v>
      </c>
      <c r="V75" s="25">
        <f>SUM(B75:U75)</f>
        <v>473</v>
      </c>
    </row>
    <row r="76" spans="1:23" ht="17.25" customHeight="1">
      <c r="A76" s="20">
        <v>4</v>
      </c>
      <c r="B76" s="25">
        <f t="shared" ref="B76:U76" si="4">COUNTIF(B9:B66,4)</f>
        <v>16</v>
      </c>
      <c r="C76" s="25">
        <f t="shared" si="4"/>
        <v>15</v>
      </c>
      <c r="D76" s="25">
        <f t="shared" si="4"/>
        <v>10</v>
      </c>
      <c r="E76" s="25">
        <f t="shared" si="4"/>
        <v>15</v>
      </c>
      <c r="F76" s="25">
        <f t="shared" si="4"/>
        <v>10</v>
      </c>
      <c r="G76" s="25">
        <f t="shared" si="4"/>
        <v>16</v>
      </c>
      <c r="H76" s="25">
        <f t="shared" si="4"/>
        <v>13</v>
      </c>
      <c r="I76" s="25">
        <f t="shared" si="4"/>
        <v>18</v>
      </c>
      <c r="J76" s="25">
        <f t="shared" si="4"/>
        <v>23</v>
      </c>
      <c r="K76" s="25">
        <f t="shared" si="4"/>
        <v>19</v>
      </c>
      <c r="L76" s="25">
        <f t="shared" si="4"/>
        <v>22</v>
      </c>
      <c r="M76" s="25">
        <f t="shared" si="4"/>
        <v>22</v>
      </c>
      <c r="N76" s="25">
        <f t="shared" si="4"/>
        <v>22</v>
      </c>
      <c r="O76" s="25">
        <f t="shared" si="4"/>
        <v>14</v>
      </c>
      <c r="P76" s="25">
        <f t="shared" si="4"/>
        <v>15</v>
      </c>
      <c r="Q76" s="25">
        <f t="shared" si="4"/>
        <v>9</v>
      </c>
      <c r="R76" s="25">
        <f t="shared" si="4"/>
        <v>14</v>
      </c>
      <c r="S76" s="25">
        <f t="shared" si="4"/>
        <v>11</v>
      </c>
      <c r="T76" s="25">
        <f t="shared" si="4"/>
        <v>15</v>
      </c>
      <c r="U76" s="25">
        <f t="shared" si="4"/>
        <v>15</v>
      </c>
      <c r="V76" s="25">
        <f>SUM(B76:U76)</f>
        <v>314</v>
      </c>
    </row>
    <row r="77" spans="1:23" ht="17.25" customHeight="1">
      <c r="A77" s="20">
        <v>3</v>
      </c>
      <c r="B77" s="25">
        <f t="shared" ref="B77:U77" si="5">COUNTIF(B9:B66,3)</f>
        <v>12</v>
      </c>
      <c r="C77" s="25">
        <f t="shared" si="5"/>
        <v>13</v>
      </c>
      <c r="D77" s="25">
        <f t="shared" si="5"/>
        <v>14</v>
      </c>
      <c r="E77" s="25">
        <f t="shared" si="5"/>
        <v>12</v>
      </c>
      <c r="F77" s="25">
        <f t="shared" si="5"/>
        <v>21</v>
      </c>
      <c r="G77" s="25">
        <f t="shared" si="5"/>
        <v>19</v>
      </c>
      <c r="H77" s="25">
        <f t="shared" si="5"/>
        <v>17</v>
      </c>
      <c r="I77" s="25">
        <f t="shared" si="5"/>
        <v>17</v>
      </c>
      <c r="J77" s="25">
        <f t="shared" si="5"/>
        <v>17</v>
      </c>
      <c r="K77" s="25">
        <f t="shared" si="5"/>
        <v>20</v>
      </c>
      <c r="L77" s="25">
        <f t="shared" si="5"/>
        <v>18</v>
      </c>
      <c r="M77" s="25">
        <f t="shared" si="5"/>
        <v>16</v>
      </c>
      <c r="N77" s="25">
        <f t="shared" si="5"/>
        <v>17</v>
      </c>
      <c r="O77" s="25">
        <f t="shared" si="5"/>
        <v>23</v>
      </c>
      <c r="P77" s="25">
        <f t="shared" si="5"/>
        <v>25</v>
      </c>
      <c r="Q77" s="25">
        <f t="shared" si="5"/>
        <v>26</v>
      </c>
      <c r="R77" s="25">
        <f t="shared" si="5"/>
        <v>21</v>
      </c>
      <c r="S77" s="25">
        <f t="shared" si="5"/>
        <v>22</v>
      </c>
      <c r="T77" s="25">
        <f t="shared" si="5"/>
        <v>21</v>
      </c>
      <c r="U77" s="25">
        <f t="shared" si="5"/>
        <v>3</v>
      </c>
      <c r="V77" s="25">
        <f>SUM(B77:U77)</f>
        <v>354</v>
      </c>
    </row>
    <row r="78" spans="1:23" ht="17.25" customHeight="1">
      <c r="A78" s="20">
        <v>2</v>
      </c>
      <c r="B78" s="25">
        <f t="shared" ref="B78:U78" si="6">COUNTIF(B9:B66,2)</f>
        <v>0</v>
      </c>
      <c r="C78" s="25">
        <f t="shared" si="6"/>
        <v>1</v>
      </c>
      <c r="D78" s="25">
        <f t="shared" si="6"/>
        <v>2</v>
      </c>
      <c r="E78" s="25">
        <f t="shared" si="6"/>
        <v>0</v>
      </c>
      <c r="F78" s="25">
        <f t="shared" si="6"/>
        <v>0</v>
      </c>
      <c r="G78" s="25">
        <f t="shared" si="6"/>
        <v>1</v>
      </c>
      <c r="H78" s="25">
        <f t="shared" si="6"/>
        <v>2</v>
      </c>
      <c r="I78" s="25">
        <f t="shared" si="6"/>
        <v>0</v>
      </c>
      <c r="J78" s="25">
        <f t="shared" si="6"/>
        <v>1</v>
      </c>
      <c r="K78" s="25">
        <f t="shared" si="6"/>
        <v>1</v>
      </c>
      <c r="L78" s="25">
        <f t="shared" si="6"/>
        <v>1</v>
      </c>
      <c r="M78" s="25">
        <f t="shared" si="6"/>
        <v>2</v>
      </c>
      <c r="N78" s="25">
        <f t="shared" si="6"/>
        <v>0</v>
      </c>
      <c r="O78" s="25">
        <f t="shared" si="6"/>
        <v>0</v>
      </c>
      <c r="P78" s="25">
        <f t="shared" si="6"/>
        <v>0</v>
      </c>
      <c r="Q78" s="25">
        <f t="shared" si="6"/>
        <v>1</v>
      </c>
      <c r="R78" s="25">
        <f t="shared" si="6"/>
        <v>0</v>
      </c>
      <c r="S78" s="25">
        <f t="shared" si="6"/>
        <v>1</v>
      </c>
      <c r="T78" s="25">
        <f t="shared" si="6"/>
        <v>1</v>
      </c>
      <c r="U78" s="25">
        <f t="shared" si="6"/>
        <v>0</v>
      </c>
      <c r="V78" s="25">
        <f>SUM(B78:U78)</f>
        <v>14</v>
      </c>
    </row>
    <row r="79" spans="1:23" ht="17.25" customHeight="1">
      <c r="A79" s="20">
        <v>1</v>
      </c>
      <c r="B79" s="25">
        <f t="shared" ref="B79:U79" si="7">COUNTIF(B9:B66,1)</f>
        <v>0</v>
      </c>
      <c r="C79" s="25">
        <f t="shared" si="7"/>
        <v>0</v>
      </c>
      <c r="D79" s="25">
        <f t="shared" si="7"/>
        <v>0</v>
      </c>
      <c r="E79" s="25">
        <f t="shared" si="7"/>
        <v>0</v>
      </c>
      <c r="F79" s="25">
        <f t="shared" si="7"/>
        <v>0</v>
      </c>
      <c r="G79" s="25">
        <f t="shared" si="7"/>
        <v>0</v>
      </c>
      <c r="H79" s="25">
        <f t="shared" si="7"/>
        <v>0</v>
      </c>
      <c r="I79" s="25">
        <f t="shared" si="7"/>
        <v>1</v>
      </c>
      <c r="J79" s="25">
        <f t="shared" si="7"/>
        <v>0</v>
      </c>
      <c r="K79" s="25">
        <f t="shared" si="7"/>
        <v>0</v>
      </c>
      <c r="L79" s="25">
        <f t="shared" si="7"/>
        <v>0</v>
      </c>
      <c r="M79" s="25">
        <f t="shared" si="7"/>
        <v>0</v>
      </c>
      <c r="N79" s="25">
        <f t="shared" si="7"/>
        <v>0</v>
      </c>
      <c r="O79" s="25">
        <f t="shared" si="7"/>
        <v>1</v>
      </c>
      <c r="P79" s="25">
        <f t="shared" si="7"/>
        <v>1</v>
      </c>
      <c r="Q79" s="25">
        <f t="shared" si="7"/>
        <v>2</v>
      </c>
      <c r="R79" s="25">
        <f t="shared" si="7"/>
        <v>0</v>
      </c>
      <c r="S79" s="25">
        <f t="shared" si="7"/>
        <v>0</v>
      </c>
      <c r="T79" s="25">
        <f t="shared" si="7"/>
        <v>0</v>
      </c>
      <c r="U79" s="25">
        <f t="shared" si="7"/>
        <v>0</v>
      </c>
      <c r="V79" s="25">
        <f>SUM(B79:U79)</f>
        <v>5</v>
      </c>
    </row>
    <row r="80" spans="1:23" ht="15.75">
      <c r="A80" s="26"/>
      <c r="B80" s="26"/>
      <c r="C80" s="26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27"/>
    </row>
    <row r="81" spans="1:22" s="28" customForma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ht="27" customHeight="1">
      <c r="A82" s="96" t="s">
        <v>9</v>
      </c>
      <c r="B82" s="97"/>
      <c r="C82" s="98"/>
      <c r="D82" s="80">
        <v>4.3103400000000001</v>
      </c>
      <c r="E82" s="80">
        <v>4.2413800000000004</v>
      </c>
      <c r="F82" s="80">
        <v>4.24</v>
      </c>
      <c r="G82" s="80">
        <v>4.33</v>
      </c>
      <c r="H82" s="80">
        <v>4.0999999999999996</v>
      </c>
    </row>
    <row r="83" spans="1:22" ht="28.5" customHeight="1">
      <c r="A83" s="96" t="s">
        <v>10</v>
      </c>
      <c r="B83" s="97"/>
      <c r="C83" s="98"/>
      <c r="D83" s="80">
        <v>4.0172400000000001</v>
      </c>
      <c r="E83" s="80">
        <v>4.0862100000000003</v>
      </c>
      <c r="F83" s="80">
        <v>4.03</v>
      </c>
      <c r="G83" s="80">
        <v>3.97</v>
      </c>
      <c r="H83" s="80">
        <v>3.93</v>
      </c>
    </row>
    <row r="84" spans="1:22" ht="30.75" customHeight="1">
      <c r="A84" s="96" t="s">
        <v>14</v>
      </c>
      <c r="B84" s="97"/>
      <c r="C84" s="98"/>
      <c r="D84" s="80">
        <v>3.9482758620689702</v>
      </c>
      <c r="E84" s="80">
        <v>3.9655172413793101</v>
      </c>
      <c r="F84" s="80">
        <v>4.0344827586206904</v>
      </c>
      <c r="G84" s="80">
        <v>3.8965517241379302</v>
      </c>
      <c r="H84" s="80">
        <v>3.81034482758621</v>
      </c>
    </row>
    <row r="85" spans="1:22" ht="30" customHeight="1">
      <c r="A85" s="96" t="s">
        <v>12</v>
      </c>
      <c r="B85" s="97"/>
      <c r="C85" s="98"/>
      <c r="D85" s="80">
        <v>3.7586206896551699</v>
      </c>
      <c r="E85" s="80">
        <v>4.0344827586206904</v>
      </c>
      <c r="F85" s="80">
        <v>4</v>
      </c>
      <c r="G85" s="80">
        <v>3.9655172413793101</v>
      </c>
      <c r="H85" s="79">
        <v>4.6379310344827598</v>
      </c>
    </row>
    <row r="94" spans="1:22" s="4" customFormat="1" ht="15.75">
      <c r="A94" s="30" t="s">
        <v>15</v>
      </c>
      <c r="B94" s="30"/>
      <c r="C94" s="30"/>
      <c r="D94" s="30"/>
      <c r="E94" s="30"/>
      <c r="F94" s="30"/>
      <c r="G94" s="30"/>
      <c r="H94" s="30"/>
      <c r="I94" s="30" t="s">
        <v>16</v>
      </c>
      <c r="J94" s="30"/>
      <c r="K94" s="30"/>
      <c r="M94" s="30"/>
      <c r="N94" s="30"/>
      <c r="O94" s="30"/>
      <c r="P94" s="30"/>
      <c r="Q94" s="30"/>
      <c r="R94" s="30"/>
      <c r="S94" s="30"/>
      <c r="T94" s="30" t="s">
        <v>17</v>
      </c>
      <c r="U94" s="30"/>
      <c r="V94" s="30"/>
    </row>
  </sheetData>
  <mergeCells count="14">
    <mergeCell ref="A73:V73"/>
    <mergeCell ref="A82:C82"/>
    <mergeCell ref="A83:C83"/>
    <mergeCell ref="A84:C84"/>
    <mergeCell ref="A85:C85"/>
    <mergeCell ref="A4:V4"/>
    <mergeCell ref="A5:V5"/>
    <mergeCell ref="F6:P6"/>
    <mergeCell ref="B71:F71"/>
    <mergeCell ref="G71:K71"/>
    <mergeCell ref="L71:P71"/>
    <mergeCell ref="Q71:U71"/>
    <mergeCell ref="A70:A72"/>
    <mergeCell ref="V70:V71"/>
  </mergeCells>
  <pageMargins left="0.70866141732283505" right="0.27" top="0.26" bottom="0.196850393700787" header="0.23" footer="0.2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4:V92"/>
  <sheetViews>
    <sheetView topLeftCell="A71" workbookViewId="0">
      <selection activeCell="P96" sqref="P96"/>
    </sheetView>
  </sheetViews>
  <sheetFormatPr defaultColWidth="9" defaultRowHeight="15"/>
  <cols>
    <col min="13" max="13" width="9.140625" customWidth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24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26</v>
      </c>
      <c r="R7" s="5" t="s">
        <v>27</v>
      </c>
      <c r="S7" s="5"/>
      <c r="T7" s="5"/>
      <c r="U7" s="6"/>
      <c r="V7" s="3"/>
    </row>
    <row r="8" spans="1:22">
      <c r="A8" s="31" t="s">
        <v>5</v>
      </c>
      <c r="B8" s="20">
        <v>1.1000000000000001</v>
      </c>
      <c r="C8" s="20">
        <v>1.2</v>
      </c>
      <c r="D8" s="20">
        <v>1.3</v>
      </c>
      <c r="E8" s="20">
        <v>1.4</v>
      </c>
      <c r="F8" s="20">
        <v>1.5</v>
      </c>
      <c r="G8" s="20">
        <v>2.1</v>
      </c>
      <c r="H8" s="20">
        <v>2.2000000000000002</v>
      </c>
      <c r="I8" s="20">
        <v>2.2999999999999998</v>
      </c>
      <c r="J8" s="20">
        <v>2.4</v>
      </c>
      <c r="K8" s="20">
        <v>2.5</v>
      </c>
      <c r="L8" s="20">
        <v>3.1</v>
      </c>
      <c r="M8" s="20">
        <v>3.2</v>
      </c>
      <c r="N8" s="20">
        <v>3.3</v>
      </c>
      <c r="O8" s="20">
        <v>3.4</v>
      </c>
      <c r="P8" s="20">
        <v>3.5</v>
      </c>
      <c r="Q8" s="20">
        <v>4.0999999999999996</v>
      </c>
      <c r="R8" s="20">
        <v>4.2</v>
      </c>
      <c r="S8" s="20">
        <v>4.3</v>
      </c>
      <c r="T8" s="20">
        <v>4.4000000000000004</v>
      </c>
      <c r="U8" s="20">
        <v>4.5</v>
      </c>
      <c r="V8" s="20" t="s">
        <v>6</v>
      </c>
    </row>
    <row r="9" spans="1:22" ht="15.75">
      <c r="A9" s="12">
        <v>1</v>
      </c>
      <c r="B9" s="12">
        <v>5</v>
      </c>
      <c r="C9" s="12">
        <v>5</v>
      </c>
      <c r="D9" s="12">
        <v>5</v>
      </c>
      <c r="E9" s="12">
        <v>5</v>
      </c>
      <c r="F9" s="12">
        <v>5</v>
      </c>
      <c r="G9" s="12">
        <v>5</v>
      </c>
      <c r="H9" s="12">
        <v>5</v>
      </c>
      <c r="I9" s="12">
        <v>5</v>
      </c>
      <c r="J9" s="12">
        <v>5</v>
      </c>
      <c r="K9" s="12">
        <v>5</v>
      </c>
      <c r="L9" s="12">
        <v>5</v>
      </c>
      <c r="M9" s="12">
        <v>5</v>
      </c>
      <c r="N9" s="12">
        <v>5</v>
      </c>
      <c r="O9" s="12">
        <v>5</v>
      </c>
      <c r="P9" s="12">
        <v>5</v>
      </c>
      <c r="Q9" s="12">
        <v>5</v>
      </c>
      <c r="R9" s="12">
        <v>5</v>
      </c>
      <c r="S9" s="12">
        <v>5</v>
      </c>
      <c r="T9" s="12">
        <v>5</v>
      </c>
      <c r="U9" s="12">
        <v>5</v>
      </c>
      <c r="V9" s="12">
        <f t="shared" ref="V9:V64" si="0">SUM(B9:U9)</f>
        <v>100</v>
      </c>
    </row>
    <row r="10" spans="1:22" ht="15.75">
      <c r="A10" s="12">
        <v>2</v>
      </c>
      <c r="B10" s="12">
        <v>5</v>
      </c>
      <c r="C10" s="12">
        <v>4</v>
      </c>
      <c r="D10" s="12">
        <v>4</v>
      </c>
      <c r="E10" s="12">
        <v>4</v>
      </c>
      <c r="F10" s="12">
        <v>5</v>
      </c>
      <c r="G10" s="12">
        <v>4</v>
      </c>
      <c r="H10" s="12">
        <v>5</v>
      </c>
      <c r="I10" s="12">
        <v>4</v>
      </c>
      <c r="J10" s="12">
        <v>4</v>
      </c>
      <c r="K10" s="12">
        <v>4</v>
      </c>
      <c r="L10" s="12">
        <v>5</v>
      </c>
      <c r="M10" s="12">
        <v>5</v>
      </c>
      <c r="N10" s="12">
        <v>5</v>
      </c>
      <c r="O10" s="12">
        <v>5</v>
      </c>
      <c r="P10" s="12">
        <v>5</v>
      </c>
      <c r="Q10" s="12">
        <v>4</v>
      </c>
      <c r="R10" s="12">
        <v>5</v>
      </c>
      <c r="S10" s="12">
        <v>4</v>
      </c>
      <c r="T10" s="12">
        <v>5</v>
      </c>
      <c r="U10" s="12">
        <v>4</v>
      </c>
      <c r="V10" s="12">
        <f t="shared" si="0"/>
        <v>90</v>
      </c>
    </row>
    <row r="11" spans="1:22" ht="15.75">
      <c r="A11" s="12">
        <v>3</v>
      </c>
      <c r="B11" s="12">
        <v>5</v>
      </c>
      <c r="C11" s="12">
        <v>5</v>
      </c>
      <c r="D11" s="12">
        <v>5</v>
      </c>
      <c r="E11" s="12">
        <v>5</v>
      </c>
      <c r="F11" s="12">
        <v>5</v>
      </c>
      <c r="G11" s="12">
        <v>5</v>
      </c>
      <c r="H11" s="12">
        <v>5</v>
      </c>
      <c r="I11" s="12">
        <v>5</v>
      </c>
      <c r="J11" s="12">
        <v>5</v>
      </c>
      <c r="K11" s="12">
        <v>5</v>
      </c>
      <c r="L11" s="12">
        <v>5</v>
      </c>
      <c r="M11" s="12">
        <v>5</v>
      </c>
      <c r="N11" s="12">
        <v>5</v>
      </c>
      <c r="O11" s="12">
        <v>5</v>
      </c>
      <c r="P11" s="12">
        <v>5</v>
      </c>
      <c r="Q11" s="12">
        <v>5</v>
      </c>
      <c r="R11" s="12">
        <v>5</v>
      </c>
      <c r="S11" s="12">
        <v>5</v>
      </c>
      <c r="T11" s="12">
        <v>5</v>
      </c>
      <c r="U11" s="12">
        <v>5</v>
      </c>
      <c r="V11" s="12">
        <f t="shared" si="0"/>
        <v>100</v>
      </c>
    </row>
    <row r="12" spans="1:22" ht="15.75">
      <c r="A12" s="12">
        <v>4</v>
      </c>
      <c r="B12" s="12">
        <v>5</v>
      </c>
      <c r="C12" s="12">
        <v>5</v>
      </c>
      <c r="D12" s="12">
        <v>5</v>
      </c>
      <c r="E12" s="12">
        <v>5</v>
      </c>
      <c r="F12" s="12">
        <v>5</v>
      </c>
      <c r="G12" s="12">
        <v>5</v>
      </c>
      <c r="H12" s="12">
        <v>5</v>
      </c>
      <c r="I12" s="12">
        <v>5</v>
      </c>
      <c r="J12" s="12">
        <v>5</v>
      </c>
      <c r="K12" s="12">
        <v>5</v>
      </c>
      <c r="L12" s="12">
        <v>5</v>
      </c>
      <c r="M12" s="12">
        <v>5</v>
      </c>
      <c r="N12" s="12">
        <v>5</v>
      </c>
      <c r="O12" s="12">
        <v>5</v>
      </c>
      <c r="P12" s="12">
        <v>5</v>
      </c>
      <c r="Q12" s="12">
        <v>5</v>
      </c>
      <c r="R12" s="12">
        <v>5</v>
      </c>
      <c r="S12" s="12">
        <v>5</v>
      </c>
      <c r="T12" s="12">
        <v>5</v>
      </c>
      <c r="U12" s="12">
        <v>5</v>
      </c>
      <c r="V12" s="12">
        <f t="shared" si="0"/>
        <v>100</v>
      </c>
    </row>
    <row r="13" spans="1:22" ht="15.75">
      <c r="A13" s="12">
        <v>5</v>
      </c>
      <c r="B13" s="12">
        <v>5</v>
      </c>
      <c r="C13" s="12">
        <v>5</v>
      </c>
      <c r="D13" s="12">
        <v>5</v>
      </c>
      <c r="E13" s="12">
        <v>5</v>
      </c>
      <c r="F13" s="12">
        <v>5</v>
      </c>
      <c r="G13" s="12">
        <v>5</v>
      </c>
      <c r="H13" s="12">
        <v>5</v>
      </c>
      <c r="I13" s="12">
        <v>5</v>
      </c>
      <c r="J13" s="12">
        <v>5</v>
      </c>
      <c r="K13" s="12">
        <v>5</v>
      </c>
      <c r="L13" s="12">
        <v>5</v>
      </c>
      <c r="M13" s="12">
        <v>5</v>
      </c>
      <c r="N13" s="12">
        <v>5</v>
      </c>
      <c r="O13" s="12">
        <v>5</v>
      </c>
      <c r="P13" s="12">
        <v>5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2">
        <f t="shared" si="0"/>
        <v>100</v>
      </c>
    </row>
    <row r="14" spans="1:22" ht="15.75">
      <c r="A14" s="12">
        <v>6</v>
      </c>
      <c r="B14" s="12">
        <v>5</v>
      </c>
      <c r="C14" s="12">
        <v>5</v>
      </c>
      <c r="D14" s="12">
        <v>5</v>
      </c>
      <c r="E14" s="12">
        <v>5</v>
      </c>
      <c r="F14" s="12">
        <v>5</v>
      </c>
      <c r="G14" s="12">
        <v>5</v>
      </c>
      <c r="H14" s="12">
        <v>5</v>
      </c>
      <c r="I14" s="12">
        <v>5</v>
      </c>
      <c r="J14" s="12">
        <v>5</v>
      </c>
      <c r="K14" s="12">
        <v>5</v>
      </c>
      <c r="L14" s="12">
        <v>5</v>
      </c>
      <c r="M14" s="12">
        <v>5</v>
      </c>
      <c r="N14" s="12">
        <v>5</v>
      </c>
      <c r="O14" s="12">
        <v>5</v>
      </c>
      <c r="P14" s="12">
        <v>5</v>
      </c>
      <c r="Q14" s="12">
        <v>5</v>
      </c>
      <c r="R14" s="12">
        <v>5</v>
      </c>
      <c r="S14" s="12">
        <v>5</v>
      </c>
      <c r="T14" s="12">
        <v>5</v>
      </c>
      <c r="U14" s="12">
        <v>5</v>
      </c>
      <c r="V14" s="12">
        <f t="shared" si="0"/>
        <v>100</v>
      </c>
    </row>
    <row r="15" spans="1:22" ht="15.75">
      <c r="A15" s="12">
        <v>7</v>
      </c>
      <c r="B15" s="12">
        <v>4</v>
      </c>
      <c r="C15" s="12">
        <v>5</v>
      </c>
      <c r="D15" s="12">
        <v>5</v>
      </c>
      <c r="E15" s="12">
        <v>5</v>
      </c>
      <c r="F15" s="12">
        <v>4</v>
      </c>
      <c r="G15" s="12">
        <v>5</v>
      </c>
      <c r="H15" s="12">
        <v>5</v>
      </c>
      <c r="I15" s="12">
        <v>5</v>
      </c>
      <c r="J15" s="12">
        <v>5</v>
      </c>
      <c r="K15" s="12">
        <v>5</v>
      </c>
      <c r="L15" s="12">
        <v>5</v>
      </c>
      <c r="M15" s="12">
        <v>5</v>
      </c>
      <c r="N15" s="12">
        <v>5</v>
      </c>
      <c r="O15" s="12">
        <v>4</v>
      </c>
      <c r="P15" s="12">
        <v>3</v>
      </c>
      <c r="Q15" s="12">
        <v>4</v>
      </c>
      <c r="R15" s="12">
        <v>4</v>
      </c>
      <c r="S15" s="12">
        <v>5</v>
      </c>
      <c r="T15" s="12">
        <v>4</v>
      </c>
      <c r="U15" s="12">
        <v>4</v>
      </c>
      <c r="V15" s="12">
        <f t="shared" si="0"/>
        <v>91</v>
      </c>
    </row>
    <row r="16" spans="1:22" ht="15.75">
      <c r="A16" s="12">
        <v>8</v>
      </c>
      <c r="B16" s="12">
        <v>5</v>
      </c>
      <c r="C16" s="12">
        <v>5</v>
      </c>
      <c r="D16" s="12">
        <v>5</v>
      </c>
      <c r="E16" s="12">
        <v>5</v>
      </c>
      <c r="F16" s="12">
        <v>5</v>
      </c>
      <c r="G16" s="12">
        <v>5</v>
      </c>
      <c r="H16" s="12">
        <v>5</v>
      </c>
      <c r="I16" s="12">
        <v>5</v>
      </c>
      <c r="J16" s="12">
        <v>5</v>
      </c>
      <c r="K16" s="12">
        <v>5</v>
      </c>
      <c r="L16" s="12">
        <v>5</v>
      </c>
      <c r="M16" s="12">
        <v>5</v>
      </c>
      <c r="N16" s="12">
        <v>5</v>
      </c>
      <c r="O16" s="12">
        <v>5</v>
      </c>
      <c r="P16" s="12">
        <v>5</v>
      </c>
      <c r="Q16" s="12">
        <v>5</v>
      </c>
      <c r="R16" s="12">
        <v>5</v>
      </c>
      <c r="S16" s="12">
        <v>5</v>
      </c>
      <c r="T16" s="12">
        <v>5</v>
      </c>
      <c r="U16" s="12">
        <v>5</v>
      </c>
      <c r="V16" s="12">
        <f t="shared" si="0"/>
        <v>100</v>
      </c>
    </row>
    <row r="17" spans="1:22" ht="15.75">
      <c r="A17" s="12">
        <v>9</v>
      </c>
      <c r="B17" s="12">
        <v>5</v>
      </c>
      <c r="C17" s="12">
        <v>5</v>
      </c>
      <c r="D17" s="12">
        <v>5</v>
      </c>
      <c r="E17" s="12">
        <v>5</v>
      </c>
      <c r="F17" s="12">
        <v>5</v>
      </c>
      <c r="G17" s="12">
        <v>5</v>
      </c>
      <c r="H17" s="12">
        <v>5</v>
      </c>
      <c r="I17" s="12">
        <v>5</v>
      </c>
      <c r="J17" s="12">
        <v>5</v>
      </c>
      <c r="K17" s="12">
        <v>5</v>
      </c>
      <c r="L17" s="12">
        <v>5</v>
      </c>
      <c r="M17" s="12">
        <v>5</v>
      </c>
      <c r="N17" s="12">
        <v>5</v>
      </c>
      <c r="O17" s="12">
        <v>5</v>
      </c>
      <c r="P17" s="12">
        <v>5</v>
      </c>
      <c r="Q17" s="12">
        <v>5</v>
      </c>
      <c r="R17" s="12">
        <v>5</v>
      </c>
      <c r="S17" s="12">
        <v>5</v>
      </c>
      <c r="T17" s="12">
        <v>5</v>
      </c>
      <c r="U17" s="12">
        <v>5</v>
      </c>
      <c r="V17" s="12">
        <f t="shared" si="0"/>
        <v>100</v>
      </c>
    </row>
    <row r="18" spans="1:22" ht="15.75">
      <c r="A18" s="12">
        <v>10</v>
      </c>
      <c r="B18" s="12">
        <v>5</v>
      </c>
      <c r="C18" s="12">
        <v>5</v>
      </c>
      <c r="D18" s="12">
        <v>5</v>
      </c>
      <c r="E18" s="12">
        <v>5</v>
      </c>
      <c r="F18" s="12">
        <v>5</v>
      </c>
      <c r="G18" s="12">
        <v>5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5</v>
      </c>
      <c r="N18" s="12">
        <v>5</v>
      </c>
      <c r="O18" s="12">
        <v>5</v>
      </c>
      <c r="P18" s="12">
        <v>5</v>
      </c>
      <c r="Q18" s="12">
        <v>5</v>
      </c>
      <c r="R18" s="12">
        <v>5</v>
      </c>
      <c r="S18" s="12">
        <v>5</v>
      </c>
      <c r="T18" s="12">
        <v>5</v>
      </c>
      <c r="U18" s="12">
        <v>5</v>
      </c>
      <c r="V18" s="12">
        <f t="shared" si="0"/>
        <v>100</v>
      </c>
    </row>
    <row r="19" spans="1:22" ht="15.75">
      <c r="A19" s="12">
        <v>11</v>
      </c>
      <c r="B19" s="12">
        <v>5</v>
      </c>
      <c r="C19" s="12">
        <v>5</v>
      </c>
      <c r="D19" s="12">
        <v>5</v>
      </c>
      <c r="E19" s="12">
        <v>5</v>
      </c>
      <c r="F19" s="12">
        <v>5</v>
      </c>
      <c r="G19" s="12">
        <v>5</v>
      </c>
      <c r="H19" s="12">
        <v>5</v>
      </c>
      <c r="I19" s="12">
        <v>5</v>
      </c>
      <c r="J19" s="12">
        <v>5</v>
      </c>
      <c r="K19" s="12">
        <v>5</v>
      </c>
      <c r="L19" s="12">
        <v>5</v>
      </c>
      <c r="M19" s="12">
        <v>1</v>
      </c>
      <c r="N19" s="12">
        <v>1</v>
      </c>
      <c r="O19" s="12">
        <v>5</v>
      </c>
      <c r="P19" s="12">
        <v>4</v>
      </c>
      <c r="Q19" s="12">
        <v>5</v>
      </c>
      <c r="R19" s="12">
        <v>5</v>
      </c>
      <c r="S19" s="12">
        <v>4</v>
      </c>
      <c r="T19" s="12">
        <v>5</v>
      </c>
      <c r="U19" s="12">
        <v>5</v>
      </c>
      <c r="V19" s="12">
        <f t="shared" si="0"/>
        <v>90</v>
      </c>
    </row>
    <row r="20" spans="1:22" ht="15.75">
      <c r="A20" s="12">
        <v>12</v>
      </c>
      <c r="B20" s="12">
        <v>4</v>
      </c>
      <c r="C20" s="12">
        <v>4</v>
      </c>
      <c r="D20" s="12">
        <v>4</v>
      </c>
      <c r="E20" s="12">
        <v>5</v>
      </c>
      <c r="F20" s="12">
        <v>4</v>
      </c>
      <c r="G20" s="12">
        <v>5</v>
      </c>
      <c r="H20" s="12">
        <v>3</v>
      </c>
      <c r="I20" s="12">
        <v>2</v>
      </c>
      <c r="J20" s="12">
        <v>5</v>
      </c>
      <c r="K20" s="12">
        <v>4</v>
      </c>
      <c r="L20" s="12">
        <v>5</v>
      </c>
      <c r="M20" s="12">
        <v>1</v>
      </c>
      <c r="N20" s="12">
        <v>1</v>
      </c>
      <c r="O20" s="12">
        <v>5</v>
      </c>
      <c r="P20" s="12">
        <v>5</v>
      </c>
      <c r="Q20" s="12">
        <v>4</v>
      </c>
      <c r="R20" s="12">
        <v>4</v>
      </c>
      <c r="S20" s="12">
        <v>5</v>
      </c>
      <c r="T20" s="12">
        <v>5</v>
      </c>
      <c r="U20" s="12">
        <v>4</v>
      </c>
      <c r="V20" s="12">
        <f t="shared" si="0"/>
        <v>79</v>
      </c>
    </row>
    <row r="21" spans="1:22" ht="15.75">
      <c r="A21" s="12">
        <v>13</v>
      </c>
      <c r="B21" s="12">
        <v>5</v>
      </c>
      <c r="C21" s="12">
        <v>5</v>
      </c>
      <c r="D21" s="12">
        <v>5</v>
      </c>
      <c r="E21" s="12">
        <v>5</v>
      </c>
      <c r="F21" s="12">
        <v>5</v>
      </c>
      <c r="G21" s="12">
        <v>5</v>
      </c>
      <c r="H21" s="12">
        <v>5</v>
      </c>
      <c r="I21" s="12">
        <v>5</v>
      </c>
      <c r="J21" s="12">
        <v>5</v>
      </c>
      <c r="K21" s="12">
        <v>5</v>
      </c>
      <c r="L21" s="12">
        <v>5</v>
      </c>
      <c r="M21" s="12">
        <v>1</v>
      </c>
      <c r="N21" s="12">
        <v>1</v>
      </c>
      <c r="O21" s="12">
        <v>5</v>
      </c>
      <c r="P21" s="12">
        <v>5</v>
      </c>
      <c r="Q21" s="12">
        <v>5</v>
      </c>
      <c r="R21" s="12">
        <v>5</v>
      </c>
      <c r="S21" s="12">
        <v>5</v>
      </c>
      <c r="T21" s="12">
        <v>5</v>
      </c>
      <c r="U21" s="12">
        <v>5</v>
      </c>
      <c r="V21" s="12">
        <f t="shared" si="0"/>
        <v>92</v>
      </c>
    </row>
    <row r="22" spans="1:22" ht="15.75">
      <c r="A22" s="12">
        <v>14</v>
      </c>
      <c r="B22" s="12">
        <v>5</v>
      </c>
      <c r="C22" s="12">
        <v>4</v>
      </c>
      <c r="D22" s="12">
        <v>5</v>
      </c>
      <c r="E22" s="12">
        <v>5</v>
      </c>
      <c r="F22" s="12">
        <v>4</v>
      </c>
      <c r="G22" s="12">
        <v>5</v>
      </c>
      <c r="H22" s="12">
        <v>5</v>
      </c>
      <c r="I22" s="12">
        <v>5</v>
      </c>
      <c r="J22" s="12">
        <v>5</v>
      </c>
      <c r="K22" s="12">
        <v>4</v>
      </c>
      <c r="L22" s="12">
        <v>5</v>
      </c>
      <c r="M22" s="12">
        <v>5</v>
      </c>
      <c r="N22" s="12">
        <v>5</v>
      </c>
      <c r="O22" s="12">
        <v>5</v>
      </c>
      <c r="P22" s="12">
        <v>5</v>
      </c>
      <c r="Q22" s="12">
        <v>5</v>
      </c>
      <c r="R22" s="12">
        <v>5</v>
      </c>
      <c r="S22" s="12">
        <v>4</v>
      </c>
      <c r="T22" s="12">
        <v>5</v>
      </c>
      <c r="U22" s="12">
        <v>3</v>
      </c>
      <c r="V22" s="12">
        <f t="shared" si="0"/>
        <v>94</v>
      </c>
    </row>
    <row r="23" spans="1:22" ht="15.75">
      <c r="A23" s="12">
        <v>15</v>
      </c>
      <c r="B23" s="12">
        <v>5</v>
      </c>
      <c r="C23" s="12">
        <v>4</v>
      </c>
      <c r="D23" s="12">
        <v>5</v>
      </c>
      <c r="E23" s="12">
        <v>5</v>
      </c>
      <c r="F23" s="12">
        <v>4</v>
      </c>
      <c r="G23" s="12">
        <v>4</v>
      </c>
      <c r="H23" s="12">
        <v>5</v>
      </c>
      <c r="I23" s="12">
        <v>5</v>
      </c>
      <c r="J23" s="12">
        <v>4</v>
      </c>
      <c r="K23" s="12">
        <v>4</v>
      </c>
      <c r="L23" s="12">
        <v>5</v>
      </c>
      <c r="M23" s="12">
        <v>1</v>
      </c>
      <c r="N23" s="12">
        <v>1</v>
      </c>
      <c r="O23" s="12">
        <v>5</v>
      </c>
      <c r="P23" s="12">
        <v>5</v>
      </c>
      <c r="Q23" s="12">
        <v>5</v>
      </c>
      <c r="R23" s="12">
        <v>5</v>
      </c>
      <c r="S23" s="12">
        <v>5</v>
      </c>
      <c r="T23" s="12">
        <v>5</v>
      </c>
      <c r="U23" s="12">
        <v>5</v>
      </c>
      <c r="V23" s="12">
        <f t="shared" si="0"/>
        <v>87</v>
      </c>
    </row>
    <row r="24" spans="1:22" ht="15.75">
      <c r="A24" s="12">
        <v>16</v>
      </c>
      <c r="B24" s="12">
        <v>5</v>
      </c>
      <c r="C24" s="12">
        <v>4</v>
      </c>
      <c r="D24" s="12">
        <v>4</v>
      </c>
      <c r="E24" s="12">
        <v>5</v>
      </c>
      <c r="F24" s="12">
        <v>5</v>
      </c>
      <c r="G24" s="12">
        <v>5</v>
      </c>
      <c r="H24" s="12">
        <v>5</v>
      </c>
      <c r="I24" s="12">
        <v>5</v>
      </c>
      <c r="J24" s="12">
        <v>5</v>
      </c>
      <c r="K24" s="12">
        <v>5</v>
      </c>
      <c r="L24" s="12">
        <v>5</v>
      </c>
      <c r="M24" s="12">
        <v>5</v>
      </c>
      <c r="N24" s="12">
        <v>5</v>
      </c>
      <c r="O24" s="12">
        <v>5</v>
      </c>
      <c r="P24" s="12">
        <v>4</v>
      </c>
      <c r="Q24" s="12">
        <v>5</v>
      </c>
      <c r="R24" s="12">
        <v>5</v>
      </c>
      <c r="S24" s="12">
        <v>5</v>
      </c>
      <c r="T24" s="12">
        <v>5</v>
      </c>
      <c r="U24" s="12">
        <v>4</v>
      </c>
      <c r="V24" s="12">
        <f t="shared" si="0"/>
        <v>96</v>
      </c>
    </row>
    <row r="25" spans="1:22" ht="15.75">
      <c r="A25" s="12">
        <v>17</v>
      </c>
      <c r="B25" s="12">
        <v>5</v>
      </c>
      <c r="C25" s="12">
        <v>5</v>
      </c>
      <c r="D25" s="12">
        <v>5</v>
      </c>
      <c r="E25" s="12">
        <v>5</v>
      </c>
      <c r="F25" s="12">
        <v>5</v>
      </c>
      <c r="G25" s="12">
        <v>5</v>
      </c>
      <c r="H25" s="12">
        <v>5</v>
      </c>
      <c r="I25" s="12">
        <v>5</v>
      </c>
      <c r="J25" s="12">
        <v>5</v>
      </c>
      <c r="K25" s="12">
        <v>5</v>
      </c>
      <c r="L25" s="12">
        <v>5</v>
      </c>
      <c r="M25" s="12">
        <v>5</v>
      </c>
      <c r="N25" s="12">
        <v>5</v>
      </c>
      <c r="O25" s="12">
        <v>5</v>
      </c>
      <c r="P25" s="12">
        <v>5</v>
      </c>
      <c r="Q25" s="12">
        <v>5</v>
      </c>
      <c r="R25" s="12">
        <v>5</v>
      </c>
      <c r="S25" s="12">
        <v>5</v>
      </c>
      <c r="T25" s="12">
        <v>5</v>
      </c>
      <c r="U25" s="12">
        <v>5</v>
      </c>
      <c r="V25" s="12">
        <f t="shared" si="0"/>
        <v>100</v>
      </c>
    </row>
    <row r="26" spans="1:22" ht="15.75">
      <c r="A26" s="12">
        <v>18</v>
      </c>
      <c r="B26" s="12">
        <v>5</v>
      </c>
      <c r="C26" s="12">
        <v>5</v>
      </c>
      <c r="D26" s="12">
        <v>5</v>
      </c>
      <c r="E26" s="12">
        <v>4</v>
      </c>
      <c r="F26" s="12">
        <v>4</v>
      </c>
      <c r="G26" s="12">
        <v>5</v>
      </c>
      <c r="H26" s="12">
        <v>5</v>
      </c>
      <c r="I26" s="12">
        <v>5</v>
      </c>
      <c r="J26" s="12">
        <v>4</v>
      </c>
      <c r="K26" s="12">
        <v>5</v>
      </c>
      <c r="L26" s="12">
        <v>5</v>
      </c>
      <c r="M26" s="12">
        <v>5</v>
      </c>
      <c r="N26" s="12">
        <v>5</v>
      </c>
      <c r="O26" s="12">
        <v>5</v>
      </c>
      <c r="P26" s="12">
        <v>5</v>
      </c>
      <c r="Q26" s="12">
        <v>5</v>
      </c>
      <c r="R26" s="12">
        <v>5</v>
      </c>
      <c r="S26" s="12">
        <v>5</v>
      </c>
      <c r="T26" s="12">
        <v>5</v>
      </c>
      <c r="U26" s="12">
        <v>5</v>
      </c>
      <c r="V26" s="12">
        <f t="shared" si="0"/>
        <v>97</v>
      </c>
    </row>
    <row r="27" spans="1:22" ht="15.75">
      <c r="A27" s="12">
        <v>19</v>
      </c>
      <c r="B27" s="12">
        <v>4</v>
      </c>
      <c r="C27" s="12">
        <v>4</v>
      </c>
      <c r="D27" s="12">
        <v>4</v>
      </c>
      <c r="E27" s="12">
        <v>4</v>
      </c>
      <c r="F27" s="12">
        <v>4</v>
      </c>
      <c r="G27" s="12">
        <v>5</v>
      </c>
      <c r="H27" s="12">
        <v>5</v>
      </c>
      <c r="I27" s="12">
        <v>5</v>
      </c>
      <c r="J27" s="12">
        <v>4</v>
      </c>
      <c r="K27" s="12">
        <v>5</v>
      </c>
      <c r="L27" s="12">
        <v>5</v>
      </c>
      <c r="M27" s="12">
        <v>5</v>
      </c>
      <c r="N27" s="12">
        <v>5</v>
      </c>
      <c r="O27" s="12">
        <v>5</v>
      </c>
      <c r="P27" s="12">
        <v>5</v>
      </c>
      <c r="Q27" s="12">
        <v>5</v>
      </c>
      <c r="R27" s="12">
        <v>5</v>
      </c>
      <c r="S27" s="12">
        <v>5</v>
      </c>
      <c r="T27" s="12">
        <v>5</v>
      </c>
      <c r="U27" s="12">
        <v>5</v>
      </c>
      <c r="V27" s="12">
        <f t="shared" si="0"/>
        <v>94</v>
      </c>
    </row>
    <row r="28" spans="1:22" ht="15.75">
      <c r="A28" s="12">
        <v>20</v>
      </c>
      <c r="B28" s="12">
        <v>5</v>
      </c>
      <c r="C28" s="12">
        <v>5</v>
      </c>
      <c r="D28" s="12">
        <v>5</v>
      </c>
      <c r="E28" s="12">
        <v>5</v>
      </c>
      <c r="F28" s="12">
        <v>5</v>
      </c>
      <c r="G28" s="12">
        <v>1</v>
      </c>
      <c r="H28" s="12">
        <v>1</v>
      </c>
      <c r="I28" s="12">
        <v>1</v>
      </c>
      <c r="J28" s="12">
        <v>5</v>
      </c>
      <c r="K28" s="12">
        <v>5</v>
      </c>
      <c r="L28" s="12">
        <v>5</v>
      </c>
      <c r="M28" s="12">
        <v>5</v>
      </c>
      <c r="N28" s="12">
        <v>5</v>
      </c>
      <c r="O28" s="12">
        <v>5</v>
      </c>
      <c r="P28" s="12">
        <v>5</v>
      </c>
      <c r="Q28" s="12">
        <v>5</v>
      </c>
      <c r="R28" s="12">
        <v>5</v>
      </c>
      <c r="S28" s="12">
        <v>5</v>
      </c>
      <c r="T28" s="12">
        <v>5</v>
      </c>
      <c r="U28" s="12">
        <v>5</v>
      </c>
      <c r="V28" s="12">
        <f t="shared" si="0"/>
        <v>88</v>
      </c>
    </row>
    <row r="29" spans="1:22" ht="15.75">
      <c r="A29" s="12">
        <v>21</v>
      </c>
      <c r="B29" s="12">
        <v>5</v>
      </c>
      <c r="C29" s="12">
        <v>5</v>
      </c>
      <c r="D29" s="12">
        <v>4</v>
      </c>
      <c r="E29" s="12">
        <v>4</v>
      </c>
      <c r="F29" s="12">
        <v>5</v>
      </c>
      <c r="G29" s="12">
        <v>5</v>
      </c>
      <c r="H29" s="12">
        <v>5</v>
      </c>
      <c r="I29" s="12">
        <v>4</v>
      </c>
      <c r="J29" s="12">
        <v>5</v>
      </c>
      <c r="K29" s="12">
        <v>5</v>
      </c>
      <c r="L29" s="12">
        <v>4</v>
      </c>
      <c r="M29" s="12">
        <v>5</v>
      </c>
      <c r="N29" s="12">
        <v>5</v>
      </c>
      <c r="O29" s="12">
        <v>5</v>
      </c>
      <c r="P29" s="12">
        <v>5</v>
      </c>
      <c r="Q29" s="12">
        <v>4</v>
      </c>
      <c r="R29" s="12">
        <v>5</v>
      </c>
      <c r="S29" s="12">
        <v>5</v>
      </c>
      <c r="T29" s="12">
        <v>5</v>
      </c>
      <c r="U29" s="12">
        <v>5</v>
      </c>
      <c r="V29" s="12">
        <f t="shared" si="0"/>
        <v>95</v>
      </c>
    </row>
    <row r="30" spans="1:22" ht="15.75">
      <c r="A30" s="12">
        <v>22</v>
      </c>
      <c r="B30" s="12">
        <v>4</v>
      </c>
      <c r="C30" s="12">
        <v>4</v>
      </c>
      <c r="D30" s="12">
        <v>4</v>
      </c>
      <c r="E30" s="12">
        <v>4</v>
      </c>
      <c r="F30" s="12">
        <v>4</v>
      </c>
      <c r="G30" s="12">
        <v>4</v>
      </c>
      <c r="H30" s="12">
        <v>4</v>
      </c>
      <c r="I30" s="12">
        <v>4</v>
      </c>
      <c r="J30" s="12">
        <v>4</v>
      </c>
      <c r="K30" s="12">
        <v>4</v>
      </c>
      <c r="L30" s="12">
        <v>2</v>
      </c>
      <c r="M30" s="12">
        <v>2</v>
      </c>
      <c r="N30" s="12">
        <v>5</v>
      </c>
      <c r="O30" s="12">
        <v>5</v>
      </c>
      <c r="P30" s="12">
        <v>5</v>
      </c>
      <c r="Q30" s="12">
        <v>4</v>
      </c>
      <c r="R30" s="12">
        <v>4</v>
      </c>
      <c r="S30" s="12">
        <v>4</v>
      </c>
      <c r="T30" s="12">
        <v>4</v>
      </c>
      <c r="U30" s="12">
        <v>4</v>
      </c>
      <c r="V30" s="12">
        <f t="shared" si="0"/>
        <v>79</v>
      </c>
    </row>
    <row r="31" spans="1:22" ht="15.75">
      <c r="A31" s="12">
        <v>23</v>
      </c>
      <c r="B31" s="12">
        <v>3</v>
      </c>
      <c r="C31" s="12">
        <v>5</v>
      </c>
      <c r="D31" s="12">
        <v>4</v>
      </c>
      <c r="E31" s="12">
        <v>4</v>
      </c>
      <c r="F31" s="12">
        <v>5</v>
      </c>
      <c r="G31" s="12">
        <v>3</v>
      </c>
      <c r="H31" s="12">
        <v>3</v>
      </c>
      <c r="I31" s="12">
        <v>4</v>
      </c>
      <c r="J31" s="12">
        <v>3</v>
      </c>
      <c r="K31" s="12">
        <v>5</v>
      </c>
      <c r="L31" s="12">
        <v>5</v>
      </c>
      <c r="M31" s="12">
        <v>5</v>
      </c>
      <c r="N31" s="12">
        <v>5</v>
      </c>
      <c r="O31" s="12">
        <v>5</v>
      </c>
      <c r="P31" s="12">
        <v>5</v>
      </c>
      <c r="Q31" s="12">
        <v>4</v>
      </c>
      <c r="R31" s="12">
        <v>3</v>
      </c>
      <c r="S31" s="12">
        <v>4</v>
      </c>
      <c r="T31" s="12">
        <v>5</v>
      </c>
      <c r="U31" s="12">
        <v>4</v>
      </c>
      <c r="V31" s="12">
        <f t="shared" si="0"/>
        <v>84</v>
      </c>
    </row>
    <row r="32" spans="1:22" ht="15.75">
      <c r="A32" s="12">
        <v>24</v>
      </c>
      <c r="B32" s="12">
        <v>4</v>
      </c>
      <c r="C32" s="12">
        <v>4</v>
      </c>
      <c r="D32" s="12">
        <v>4</v>
      </c>
      <c r="E32" s="12">
        <v>4</v>
      </c>
      <c r="F32" s="12">
        <v>4</v>
      </c>
      <c r="G32" s="12">
        <v>5</v>
      </c>
      <c r="H32" s="12">
        <v>5</v>
      </c>
      <c r="I32" s="12">
        <v>5</v>
      </c>
      <c r="J32" s="12">
        <v>5</v>
      </c>
      <c r="K32" s="12">
        <v>5</v>
      </c>
      <c r="L32" s="12">
        <v>5</v>
      </c>
      <c r="M32" s="12">
        <v>5</v>
      </c>
      <c r="N32" s="12">
        <v>5</v>
      </c>
      <c r="O32" s="12">
        <v>4</v>
      </c>
      <c r="P32" s="12">
        <v>4</v>
      </c>
      <c r="Q32" s="12">
        <v>4</v>
      </c>
      <c r="R32" s="12">
        <v>5</v>
      </c>
      <c r="S32" s="12">
        <v>5</v>
      </c>
      <c r="T32" s="12">
        <v>4</v>
      </c>
      <c r="U32" s="12">
        <v>4</v>
      </c>
      <c r="V32" s="12">
        <f t="shared" si="0"/>
        <v>90</v>
      </c>
    </row>
    <row r="33" spans="1:22" ht="15.75">
      <c r="A33" s="12">
        <v>25</v>
      </c>
      <c r="B33" s="12">
        <v>5</v>
      </c>
      <c r="C33" s="12">
        <v>4</v>
      </c>
      <c r="D33" s="12">
        <v>3</v>
      </c>
      <c r="E33" s="12">
        <v>5</v>
      </c>
      <c r="F33" s="12">
        <v>5</v>
      </c>
      <c r="G33" s="12">
        <v>4</v>
      </c>
      <c r="H33" s="12">
        <v>5</v>
      </c>
      <c r="I33" s="12">
        <v>4</v>
      </c>
      <c r="J33" s="12">
        <v>3</v>
      </c>
      <c r="K33" s="12">
        <v>5</v>
      </c>
      <c r="L33" s="12">
        <v>2</v>
      </c>
      <c r="M33" s="12">
        <v>2</v>
      </c>
      <c r="N33" s="12">
        <v>5</v>
      </c>
      <c r="O33" s="12">
        <v>4</v>
      </c>
      <c r="P33" s="12">
        <v>3</v>
      </c>
      <c r="Q33" s="12">
        <v>5</v>
      </c>
      <c r="R33" s="12">
        <v>5</v>
      </c>
      <c r="S33" s="12">
        <v>5</v>
      </c>
      <c r="T33" s="12">
        <v>5</v>
      </c>
      <c r="U33" s="12">
        <v>4</v>
      </c>
      <c r="V33" s="12">
        <f t="shared" si="0"/>
        <v>83</v>
      </c>
    </row>
    <row r="34" spans="1:22" ht="15.75">
      <c r="A34" s="12">
        <v>26</v>
      </c>
      <c r="B34" s="12">
        <v>5</v>
      </c>
      <c r="C34" s="12">
        <v>5</v>
      </c>
      <c r="D34" s="12">
        <v>4</v>
      </c>
      <c r="E34" s="12">
        <v>5</v>
      </c>
      <c r="F34" s="12">
        <v>4</v>
      </c>
      <c r="G34" s="12">
        <v>5</v>
      </c>
      <c r="H34" s="12">
        <v>5</v>
      </c>
      <c r="I34" s="12">
        <v>5</v>
      </c>
      <c r="J34" s="12">
        <v>5</v>
      </c>
      <c r="K34" s="12">
        <v>4</v>
      </c>
      <c r="L34" s="12">
        <v>5</v>
      </c>
      <c r="M34" s="12">
        <v>5</v>
      </c>
      <c r="N34" s="12">
        <v>5</v>
      </c>
      <c r="O34" s="12">
        <v>5</v>
      </c>
      <c r="P34" s="12">
        <v>5</v>
      </c>
      <c r="Q34" s="12">
        <v>5</v>
      </c>
      <c r="R34" s="12">
        <v>5</v>
      </c>
      <c r="S34" s="12">
        <v>5</v>
      </c>
      <c r="T34" s="12">
        <v>5</v>
      </c>
      <c r="U34" s="12">
        <v>5</v>
      </c>
      <c r="V34" s="12">
        <f t="shared" si="0"/>
        <v>97</v>
      </c>
    </row>
    <row r="35" spans="1:22" ht="15.75">
      <c r="A35" s="12">
        <v>27</v>
      </c>
      <c r="B35" s="12">
        <v>5</v>
      </c>
      <c r="C35" s="12">
        <v>5</v>
      </c>
      <c r="D35" s="12">
        <v>5</v>
      </c>
      <c r="E35" s="12">
        <v>5</v>
      </c>
      <c r="F35" s="12">
        <v>5</v>
      </c>
      <c r="G35" s="12">
        <v>5</v>
      </c>
      <c r="H35" s="12">
        <v>5</v>
      </c>
      <c r="I35" s="12">
        <v>5</v>
      </c>
      <c r="J35" s="12">
        <v>5</v>
      </c>
      <c r="K35" s="12">
        <v>5</v>
      </c>
      <c r="L35" s="12">
        <v>5</v>
      </c>
      <c r="M35" s="12">
        <v>5</v>
      </c>
      <c r="N35" s="12">
        <v>5</v>
      </c>
      <c r="O35" s="12">
        <v>5</v>
      </c>
      <c r="P35" s="12">
        <v>4</v>
      </c>
      <c r="Q35" s="12">
        <v>4</v>
      </c>
      <c r="R35" s="12">
        <v>5</v>
      </c>
      <c r="S35" s="12">
        <v>5</v>
      </c>
      <c r="T35" s="12">
        <v>3</v>
      </c>
      <c r="U35" s="12">
        <v>4</v>
      </c>
      <c r="V35" s="12">
        <f t="shared" si="0"/>
        <v>95</v>
      </c>
    </row>
    <row r="36" spans="1:22" ht="15.75">
      <c r="A36" s="12">
        <v>28</v>
      </c>
      <c r="B36" s="12">
        <v>5</v>
      </c>
      <c r="C36" s="12">
        <v>4</v>
      </c>
      <c r="D36" s="12">
        <v>4</v>
      </c>
      <c r="E36" s="12">
        <v>5</v>
      </c>
      <c r="F36" s="12">
        <v>5</v>
      </c>
      <c r="G36" s="12">
        <v>5</v>
      </c>
      <c r="H36" s="12">
        <v>5</v>
      </c>
      <c r="I36" s="12">
        <v>5</v>
      </c>
      <c r="J36" s="12">
        <v>5</v>
      </c>
      <c r="K36" s="12">
        <v>5</v>
      </c>
      <c r="L36" s="12">
        <v>5</v>
      </c>
      <c r="M36" s="12">
        <v>5</v>
      </c>
      <c r="N36" s="12">
        <v>5</v>
      </c>
      <c r="O36" s="12">
        <v>4</v>
      </c>
      <c r="P36" s="12">
        <v>4</v>
      </c>
      <c r="Q36" s="12">
        <v>4</v>
      </c>
      <c r="R36" s="12">
        <v>5</v>
      </c>
      <c r="S36" s="12">
        <v>5</v>
      </c>
      <c r="T36" s="12">
        <v>4</v>
      </c>
      <c r="U36" s="12">
        <v>4</v>
      </c>
      <c r="V36" s="12">
        <f t="shared" si="0"/>
        <v>93</v>
      </c>
    </row>
    <row r="37" spans="1:22" ht="15.75">
      <c r="A37" s="12">
        <v>29</v>
      </c>
      <c r="B37" s="12">
        <v>5</v>
      </c>
      <c r="C37" s="12">
        <v>5</v>
      </c>
      <c r="D37" s="12">
        <v>5</v>
      </c>
      <c r="E37" s="12">
        <v>5</v>
      </c>
      <c r="F37" s="12">
        <v>5</v>
      </c>
      <c r="G37" s="12">
        <v>5</v>
      </c>
      <c r="H37" s="12">
        <v>5</v>
      </c>
      <c r="I37" s="12">
        <v>5</v>
      </c>
      <c r="J37" s="12">
        <v>5</v>
      </c>
      <c r="K37" s="12">
        <v>5</v>
      </c>
      <c r="L37" s="12">
        <v>5</v>
      </c>
      <c r="M37" s="12">
        <v>5</v>
      </c>
      <c r="N37" s="12">
        <v>5</v>
      </c>
      <c r="O37" s="12">
        <v>5</v>
      </c>
      <c r="P37" s="12">
        <v>5</v>
      </c>
      <c r="Q37" s="12">
        <v>5</v>
      </c>
      <c r="R37" s="12">
        <v>5</v>
      </c>
      <c r="S37" s="12">
        <v>5</v>
      </c>
      <c r="T37" s="12">
        <v>5</v>
      </c>
      <c r="U37" s="12">
        <v>5</v>
      </c>
      <c r="V37" s="12">
        <f t="shared" si="0"/>
        <v>100</v>
      </c>
    </row>
    <row r="38" spans="1:22" ht="15.75">
      <c r="A38" s="12">
        <v>30</v>
      </c>
      <c r="B38" s="12">
        <v>5</v>
      </c>
      <c r="C38" s="12">
        <v>5</v>
      </c>
      <c r="D38" s="12">
        <v>5</v>
      </c>
      <c r="E38" s="12">
        <v>5</v>
      </c>
      <c r="F38" s="12">
        <v>5</v>
      </c>
      <c r="G38" s="12">
        <v>5</v>
      </c>
      <c r="H38" s="12">
        <v>5</v>
      </c>
      <c r="I38" s="12">
        <v>5</v>
      </c>
      <c r="J38" s="12">
        <v>5</v>
      </c>
      <c r="K38" s="12">
        <v>5</v>
      </c>
      <c r="L38" s="12">
        <v>5</v>
      </c>
      <c r="M38" s="12">
        <v>5</v>
      </c>
      <c r="N38" s="12">
        <v>5</v>
      </c>
      <c r="O38" s="12">
        <v>5</v>
      </c>
      <c r="P38" s="12">
        <v>5</v>
      </c>
      <c r="Q38" s="12">
        <v>5</v>
      </c>
      <c r="R38" s="12">
        <v>5</v>
      </c>
      <c r="S38" s="12">
        <v>5</v>
      </c>
      <c r="T38" s="12">
        <v>5</v>
      </c>
      <c r="U38" s="12">
        <v>5</v>
      </c>
      <c r="V38" s="12">
        <f t="shared" si="0"/>
        <v>100</v>
      </c>
    </row>
    <row r="39" spans="1:22" ht="15.75">
      <c r="A39" s="12">
        <v>31</v>
      </c>
      <c r="B39" s="12">
        <v>5</v>
      </c>
      <c r="C39" s="12">
        <v>5</v>
      </c>
      <c r="D39" s="12">
        <v>5</v>
      </c>
      <c r="E39" s="12">
        <v>5</v>
      </c>
      <c r="F39" s="12">
        <v>5</v>
      </c>
      <c r="G39" s="12">
        <v>5</v>
      </c>
      <c r="H39" s="12">
        <v>5</v>
      </c>
      <c r="I39" s="12">
        <v>5</v>
      </c>
      <c r="J39" s="12">
        <v>5</v>
      </c>
      <c r="K39" s="12">
        <v>5</v>
      </c>
      <c r="L39" s="12">
        <v>5</v>
      </c>
      <c r="M39" s="12">
        <v>5</v>
      </c>
      <c r="N39" s="12">
        <v>5</v>
      </c>
      <c r="O39" s="12">
        <v>5</v>
      </c>
      <c r="P39" s="12">
        <v>5</v>
      </c>
      <c r="Q39" s="12">
        <v>5</v>
      </c>
      <c r="R39" s="12">
        <v>5</v>
      </c>
      <c r="S39" s="12">
        <v>5</v>
      </c>
      <c r="T39" s="12">
        <v>5</v>
      </c>
      <c r="U39" s="12">
        <v>5</v>
      </c>
      <c r="V39" s="12">
        <f t="shared" si="0"/>
        <v>100</v>
      </c>
    </row>
    <row r="40" spans="1:22" ht="15.75">
      <c r="A40" s="12">
        <v>32</v>
      </c>
      <c r="B40" s="12">
        <v>5</v>
      </c>
      <c r="C40" s="12">
        <v>5</v>
      </c>
      <c r="D40" s="12">
        <v>5</v>
      </c>
      <c r="E40" s="12">
        <v>5</v>
      </c>
      <c r="F40" s="12">
        <v>5</v>
      </c>
      <c r="G40" s="12">
        <v>5</v>
      </c>
      <c r="H40" s="12">
        <v>5</v>
      </c>
      <c r="I40" s="12">
        <v>5</v>
      </c>
      <c r="J40" s="12">
        <v>5</v>
      </c>
      <c r="K40" s="12">
        <v>5</v>
      </c>
      <c r="L40" s="12">
        <v>5</v>
      </c>
      <c r="M40" s="12">
        <v>5</v>
      </c>
      <c r="N40" s="12">
        <v>5</v>
      </c>
      <c r="O40" s="12">
        <v>5</v>
      </c>
      <c r="P40" s="12">
        <v>5</v>
      </c>
      <c r="Q40" s="12">
        <v>5</v>
      </c>
      <c r="R40" s="12">
        <v>5</v>
      </c>
      <c r="S40" s="12">
        <v>5</v>
      </c>
      <c r="T40" s="12">
        <v>5</v>
      </c>
      <c r="U40" s="12">
        <v>5</v>
      </c>
      <c r="V40" s="12">
        <f t="shared" si="0"/>
        <v>100</v>
      </c>
    </row>
    <row r="41" spans="1:22" ht="15.75">
      <c r="A41" s="12">
        <v>33</v>
      </c>
      <c r="B41" s="12">
        <v>5</v>
      </c>
      <c r="C41" s="12">
        <v>5</v>
      </c>
      <c r="D41" s="12">
        <v>5</v>
      </c>
      <c r="E41" s="12">
        <v>5</v>
      </c>
      <c r="F41" s="12">
        <v>5</v>
      </c>
      <c r="G41" s="12">
        <v>5</v>
      </c>
      <c r="H41" s="12">
        <v>5</v>
      </c>
      <c r="I41" s="12">
        <v>5</v>
      </c>
      <c r="J41" s="12">
        <v>5</v>
      </c>
      <c r="K41" s="12">
        <v>5</v>
      </c>
      <c r="L41" s="12">
        <v>5</v>
      </c>
      <c r="M41" s="12">
        <v>5</v>
      </c>
      <c r="N41" s="12">
        <v>5</v>
      </c>
      <c r="O41" s="12">
        <v>5</v>
      </c>
      <c r="P41" s="12">
        <v>5</v>
      </c>
      <c r="Q41" s="12">
        <v>5</v>
      </c>
      <c r="R41" s="12">
        <v>5</v>
      </c>
      <c r="S41" s="12">
        <v>5</v>
      </c>
      <c r="T41" s="12">
        <v>5</v>
      </c>
      <c r="U41" s="12">
        <v>5</v>
      </c>
      <c r="V41" s="12">
        <f t="shared" si="0"/>
        <v>100</v>
      </c>
    </row>
    <row r="42" spans="1:22" ht="15.75">
      <c r="A42" s="12">
        <v>34</v>
      </c>
      <c r="B42" s="12">
        <v>5</v>
      </c>
      <c r="C42" s="12">
        <v>5</v>
      </c>
      <c r="D42" s="12">
        <v>5</v>
      </c>
      <c r="E42" s="12">
        <v>5</v>
      </c>
      <c r="F42" s="12">
        <v>5</v>
      </c>
      <c r="G42" s="12">
        <v>5</v>
      </c>
      <c r="H42" s="12">
        <v>5</v>
      </c>
      <c r="I42" s="12">
        <v>5</v>
      </c>
      <c r="J42" s="12">
        <v>5</v>
      </c>
      <c r="K42" s="12">
        <v>5</v>
      </c>
      <c r="L42" s="12">
        <v>5</v>
      </c>
      <c r="M42" s="12">
        <v>5</v>
      </c>
      <c r="N42" s="12">
        <v>5</v>
      </c>
      <c r="O42" s="12">
        <v>5</v>
      </c>
      <c r="P42" s="12">
        <v>5</v>
      </c>
      <c r="Q42" s="12">
        <v>5</v>
      </c>
      <c r="R42" s="12">
        <v>5</v>
      </c>
      <c r="S42" s="12">
        <v>5</v>
      </c>
      <c r="T42" s="12">
        <v>5</v>
      </c>
      <c r="U42" s="12">
        <v>5</v>
      </c>
      <c r="V42" s="12">
        <f t="shared" si="0"/>
        <v>100</v>
      </c>
    </row>
    <row r="43" spans="1:22" ht="15.75">
      <c r="A43" s="12">
        <v>35</v>
      </c>
      <c r="B43" s="12">
        <v>4</v>
      </c>
      <c r="C43" s="12">
        <v>5</v>
      </c>
      <c r="D43" s="12">
        <v>5</v>
      </c>
      <c r="E43" s="12">
        <v>5</v>
      </c>
      <c r="F43" s="12">
        <v>3</v>
      </c>
      <c r="G43" s="12">
        <v>4</v>
      </c>
      <c r="H43" s="12">
        <v>4</v>
      </c>
      <c r="I43" s="12">
        <v>5</v>
      </c>
      <c r="J43" s="12">
        <v>3</v>
      </c>
      <c r="K43" s="12">
        <v>5</v>
      </c>
      <c r="L43" s="12">
        <v>5</v>
      </c>
      <c r="M43" s="12">
        <v>5</v>
      </c>
      <c r="N43" s="12">
        <v>5</v>
      </c>
      <c r="O43" s="12">
        <v>5</v>
      </c>
      <c r="P43" s="12">
        <v>5</v>
      </c>
      <c r="Q43" s="12">
        <v>5</v>
      </c>
      <c r="R43" s="12">
        <v>5</v>
      </c>
      <c r="S43" s="12">
        <v>5</v>
      </c>
      <c r="T43" s="12">
        <v>5</v>
      </c>
      <c r="U43" s="12">
        <v>5</v>
      </c>
      <c r="V43" s="12">
        <f t="shared" si="0"/>
        <v>93</v>
      </c>
    </row>
    <row r="44" spans="1:22" ht="15.75">
      <c r="A44" s="12">
        <v>36</v>
      </c>
      <c r="B44" s="12">
        <v>5</v>
      </c>
      <c r="C44" s="12">
        <v>4</v>
      </c>
      <c r="D44" s="12">
        <v>5</v>
      </c>
      <c r="E44" s="12">
        <v>4</v>
      </c>
      <c r="F44" s="12">
        <v>5</v>
      </c>
      <c r="G44" s="12">
        <v>5</v>
      </c>
      <c r="H44" s="12">
        <v>5</v>
      </c>
      <c r="I44" s="12">
        <v>5</v>
      </c>
      <c r="J44" s="12">
        <v>5</v>
      </c>
      <c r="K44" s="12">
        <v>5</v>
      </c>
      <c r="L44" s="12">
        <v>5</v>
      </c>
      <c r="M44" s="12">
        <v>5</v>
      </c>
      <c r="N44" s="12">
        <v>5</v>
      </c>
      <c r="O44" s="12">
        <v>5</v>
      </c>
      <c r="P44" s="12">
        <v>5</v>
      </c>
      <c r="Q44" s="12">
        <v>5</v>
      </c>
      <c r="R44" s="12">
        <v>5</v>
      </c>
      <c r="S44" s="12">
        <v>5</v>
      </c>
      <c r="T44" s="12">
        <v>5</v>
      </c>
      <c r="U44" s="12">
        <v>5</v>
      </c>
      <c r="V44" s="12">
        <f t="shared" si="0"/>
        <v>98</v>
      </c>
    </row>
    <row r="45" spans="1:22" ht="15.75">
      <c r="A45" s="12">
        <v>37</v>
      </c>
      <c r="B45" s="12">
        <v>5</v>
      </c>
      <c r="C45" s="12">
        <v>5</v>
      </c>
      <c r="D45" s="12">
        <v>5</v>
      </c>
      <c r="E45" s="12">
        <v>5</v>
      </c>
      <c r="F45" s="12">
        <v>5</v>
      </c>
      <c r="G45" s="12">
        <v>5</v>
      </c>
      <c r="H45" s="12">
        <v>4</v>
      </c>
      <c r="I45" s="12">
        <v>4</v>
      </c>
      <c r="J45" s="12">
        <v>5</v>
      </c>
      <c r="K45" s="12">
        <v>4</v>
      </c>
      <c r="L45" s="12">
        <v>5</v>
      </c>
      <c r="M45" s="12">
        <v>4</v>
      </c>
      <c r="N45" s="12">
        <v>5</v>
      </c>
      <c r="O45" s="12">
        <v>4</v>
      </c>
      <c r="P45" s="12">
        <v>5</v>
      </c>
      <c r="Q45" s="12">
        <v>5</v>
      </c>
      <c r="R45" s="12">
        <v>5</v>
      </c>
      <c r="S45" s="12">
        <v>5</v>
      </c>
      <c r="T45" s="12">
        <v>4</v>
      </c>
      <c r="U45" s="12">
        <v>5</v>
      </c>
      <c r="V45" s="12">
        <f t="shared" si="0"/>
        <v>94</v>
      </c>
    </row>
    <row r="46" spans="1:22" ht="15.75">
      <c r="A46" s="12">
        <v>38</v>
      </c>
      <c r="B46" s="12">
        <v>5</v>
      </c>
      <c r="C46" s="12">
        <v>4</v>
      </c>
      <c r="D46" s="12">
        <v>5</v>
      </c>
      <c r="E46" s="12">
        <v>4</v>
      </c>
      <c r="F46" s="12">
        <v>4</v>
      </c>
      <c r="G46" s="12">
        <v>5</v>
      </c>
      <c r="H46" s="12">
        <v>4</v>
      </c>
      <c r="I46" s="12">
        <v>5</v>
      </c>
      <c r="J46" s="12">
        <v>5</v>
      </c>
      <c r="K46" s="12">
        <v>5</v>
      </c>
      <c r="L46" s="12">
        <v>5</v>
      </c>
      <c r="M46" s="12">
        <v>5</v>
      </c>
      <c r="N46" s="12">
        <v>5</v>
      </c>
      <c r="O46" s="12">
        <v>5</v>
      </c>
      <c r="P46" s="12">
        <v>5</v>
      </c>
      <c r="Q46" s="12">
        <v>5</v>
      </c>
      <c r="R46" s="12">
        <v>5</v>
      </c>
      <c r="S46" s="12">
        <v>5</v>
      </c>
      <c r="T46" s="12">
        <v>5</v>
      </c>
      <c r="U46" s="12">
        <v>5</v>
      </c>
      <c r="V46" s="12">
        <f t="shared" si="0"/>
        <v>96</v>
      </c>
    </row>
    <row r="47" spans="1:22" ht="15.75">
      <c r="A47" s="12">
        <v>39</v>
      </c>
      <c r="B47" s="12">
        <v>5</v>
      </c>
      <c r="C47" s="12">
        <v>5</v>
      </c>
      <c r="D47" s="12">
        <v>5</v>
      </c>
      <c r="E47" s="12">
        <v>5</v>
      </c>
      <c r="F47" s="12">
        <v>5</v>
      </c>
      <c r="G47" s="12">
        <v>5</v>
      </c>
      <c r="H47" s="12">
        <v>5</v>
      </c>
      <c r="I47" s="12">
        <v>5</v>
      </c>
      <c r="J47" s="12">
        <v>5</v>
      </c>
      <c r="K47" s="12">
        <v>5</v>
      </c>
      <c r="L47" s="12">
        <v>5</v>
      </c>
      <c r="M47" s="12">
        <v>5</v>
      </c>
      <c r="N47" s="12">
        <v>5</v>
      </c>
      <c r="O47" s="12">
        <v>5</v>
      </c>
      <c r="P47" s="12">
        <v>5</v>
      </c>
      <c r="Q47" s="12">
        <v>5</v>
      </c>
      <c r="R47" s="12">
        <v>5</v>
      </c>
      <c r="S47" s="12">
        <v>5</v>
      </c>
      <c r="T47" s="12">
        <v>5</v>
      </c>
      <c r="U47" s="12">
        <v>5</v>
      </c>
      <c r="V47" s="12">
        <f t="shared" si="0"/>
        <v>100</v>
      </c>
    </row>
    <row r="48" spans="1:22" ht="15.75">
      <c r="A48" s="12">
        <v>40</v>
      </c>
      <c r="B48" s="12">
        <v>5</v>
      </c>
      <c r="C48" s="12">
        <v>5</v>
      </c>
      <c r="D48" s="12">
        <v>5</v>
      </c>
      <c r="E48" s="12">
        <v>5</v>
      </c>
      <c r="F48" s="12">
        <v>5</v>
      </c>
      <c r="G48" s="12">
        <v>5</v>
      </c>
      <c r="H48" s="12">
        <v>5</v>
      </c>
      <c r="I48" s="12">
        <v>5</v>
      </c>
      <c r="J48" s="12">
        <v>5</v>
      </c>
      <c r="K48" s="12">
        <v>5</v>
      </c>
      <c r="L48" s="12">
        <v>5</v>
      </c>
      <c r="M48" s="12">
        <v>5</v>
      </c>
      <c r="N48" s="12">
        <v>5</v>
      </c>
      <c r="O48" s="12">
        <v>5</v>
      </c>
      <c r="P48" s="12">
        <v>5</v>
      </c>
      <c r="Q48" s="12">
        <v>5</v>
      </c>
      <c r="R48" s="12">
        <v>5</v>
      </c>
      <c r="S48" s="12">
        <v>5</v>
      </c>
      <c r="T48" s="12">
        <v>5</v>
      </c>
      <c r="U48" s="12">
        <v>5</v>
      </c>
      <c r="V48" s="12">
        <f t="shared" si="0"/>
        <v>100</v>
      </c>
    </row>
    <row r="49" spans="1:22" ht="15.75">
      <c r="A49" s="12">
        <v>41</v>
      </c>
      <c r="B49" s="12">
        <v>5</v>
      </c>
      <c r="C49" s="12">
        <v>5</v>
      </c>
      <c r="D49" s="12">
        <v>5</v>
      </c>
      <c r="E49" s="12">
        <v>5</v>
      </c>
      <c r="F49" s="12">
        <v>5</v>
      </c>
      <c r="G49" s="12">
        <v>5</v>
      </c>
      <c r="H49" s="12">
        <v>5</v>
      </c>
      <c r="I49" s="12">
        <v>5</v>
      </c>
      <c r="J49" s="12">
        <v>5</v>
      </c>
      <c r="K49" s="12">
        <v>5</v>
      </c>
      <c r="L49" s="12">
        <v>5</v>
      </c>
      <c r="M49" s="12">
        <v>5</v>
      </c>
      <c r="N49" s="12">
        <v>5</v>
      </c>
      <c r="O49" s="12">
        <v>5</v>
      </c>
      <c r="P49" s="12">
        <v>5</v>
      </c>
      <c r="Q49" s="12">
        <v>5</v>
      </c>
      <c r="R49" s="12">
        <v>5</v>
      </c>
      <c r="S49" s="12">
        <v>5</v>
      </c>
      <c r="T49" s="12">
        <v>5</v>
      </c>
      <c r="U49" s="12">
        <v>5</v>
      </c>
      <c r="V49" s="12">
        <f t="shared" si="0"/>
        <v>100</v>
      </c>
    </row>
    <row r="50" spans="1:22" ht="15.75">
      <c r="A50" s="12">
        <v>42</v>
      </c>
      <c r="B50" s="12">
        <v>5</v>
      </c>
      <c r="C50" s="12">
        <v>5</v>
      </c>
      <c r="D50" s="12">
        <v>5</v>
      </c>
      <c r="E50" s="12">
        <v>5</v>
      </c>
      <c r="F50" s="12">
        <v>5</v>
      </c>
      <c r="G50" s="12">
        <v>5</v>
      </c>
      <c r="H50" s="12">
        <v>5</v>
      </c>
      <c r="I50" s="12">
        <v>5</v>
      </c>
      <c r="J50" s="12">
        <v>5</v>
      </c>
      <c r="K50" s="12">
        <v>5</v>
      </c>
      <c r="L50" s="12">
        <v>5</v>
      </c>
      <c r="M50" s="12">
        <v>5</v>
      </c>
      <c r="N50" s="12">
        <v>5</v>
      </c>
      <c r="O50" s="12">
        <v>5</v>
      </c>
      <c r="P50" s="12">
        <v>5</v>
      </c>
      <c r="Q50" s="12">
        <v>5</v>
      </c>
      <c r="R50" s="12">
        <v>5</v>
      </c>
      <c r="S50" s="12">
        <v>5</v>
      </c>
      <c r="T50" s="12">
        <v>5</v>
      </c>
      <c r="U50" s="12">
        <v>5</v>
      </c>
      <c r="V50" s="12">
        <f t="shared" si="0"/>
        <v>100</v>
      </c>
    </row>
    <row r="51" spans="1:22" ht="15.75">
      <c r="A51" s="12">
        <v>43</v>
      </c>
      <c r="B51" s="12">
        <v>5</v>
      </c>
      <c r="C51" s="12">
        <v>5</v>
      </c>
      <c r="D51" s="12">
        <v>5</v>
      </c>
      <c r="E51" s="12">
        <v>5</v>
      </c>
      <c r="F51" s="12">
        <v>5</v>
      </c>
      <c r="G51" s="12">
        <v>5</v>
      </c>
      <c r="H51" s="12">
        <v>5</v>
      </c>
      <c r="I51" s="12">
        <v>5</v>
      </c>
      <c r="J51" s="12">
        <v>5</v>
      </c>
      <c r="K51" s="12">
        <v>5</v>
      </c>
      <c r="L51" s="12">
        <v>5</v>
      </c>
      <c r="M51" s="12">
        <v>5</v>
      </c>
      <c r="N51" s="12">
        <v>5</v>
      </c>
      <c r="O51" s="12">
        <v>5</v>
      </c>
      <c r="P51" s="12">
        <v>5</v>
      </c>
      <c r="Q51" s="12">
        <v>5</v>
      </c>
      <c r="R51" s="12">
        <v>5</v>
      </c>
      <c r="S51" s="12">
        <v>5</v>
      </c>
      <c r="T51" s="12">
        <v>5</v>
      </c>
      <c r="U51" s="12">
        <v>5</v>
      </c>
      <c r="V51" s="12">
        <f t="shared" si="0"/>
        <v>100</v>
      </c>
    </row>
    <row r="52" spans="1:22" ht="15.75">
      <c r="A52" s="12">
        <v>44</v>
      </c>
      <c r="B52" s="12">
        <v>5</v>
      </c>
      <c r="C52" s="12">
        <v>5</v>
      </c>
      <c r="D52" s="12">
        <v>5</v>
      </c>
      <c r="E52" s="12">
        <v>5</v>
      </c>
      <c r="F52" s="12">
        <v>5</v>
      </c>
      <c r="G52" s="12">
        <v>5</v>
      </c>
      <c r="H52" s="12">
        <v>5</v>
      </c>
      <c r="I52" s="12">
        <v>5</v>
      </c>
      <c r="J52" s="12">
        <v>5</v>
      </c>
      <c r="K52" s="12">
        <v>5</v>
      </c>
      <c r="L52" s="12">
        <v>5</v>
      </c>
      <c r="M52" s="12">
        <v>5</v>
      </c>
      <c r="N52" s="12">
        <v>5</v>
      </c>
      <c r="O52" s="12">
        <v>5</v>
      </c>
      <c r="P52" s="12">
        <v>5</v>
      </c>
      <c r="Q52" s="12">
        <v>5</v>
      </c>
      <c r="R52" s="12">
        <v>5</v>
      </c>
      <c r="S52" s="12">
        <v>5</v>
      </c>
      <c r="T52" s="12">
        <v>5</v>
      </c>
      <c r="U52" s="12">
        <v>5</v>
      </c>
      <c r="V52" s="12">
        <f t="shared" si="0"/>
        <v>100</v>
      </c>
    </row>
    <row r="53" spans="1:22" ht="15.75">
      <c r="A53" s="12">
        <v>45</v>
      </c>
      <c r="B53" s="12">
        <v>5</v>
      </c>
      <c r="C53" s="12">
        <v>5</v>
      </c>
      <c r="D53" s="12">
        <v>5</v>
      </c>
      <c r="E53" s="12">
        <v>5</v>
      </c>
      <c r="F53" s="12">
        <v>5</v>
      </c>
      <c r="G53" s="12">
        <v>5</v>
      </c>
      <c r="H53" s="12">
        <v>5</v>
      </c>
      <c r="I53" s="12">
        <v>5</v>
      </c>
      <c r="J53" s="12">
        <v>5</v>
      </c>
      <c r="K53" s="12">
        <v>5</v>
      </c>
      <c r="L53" s="12">
        <v>5</v>
      </c>
      <c r="M53" s="12">
        <v>5</v>
      </c>
      <c r="N53" s="12">
        <v>5</v>
      </c>
      <c r="O53" s="12">
        <v>5</v>
      </c>
      <c r="P53" s="12">
        <v>5</v>
      </c>
      <c r="Q53" s="12">
        <v>5</v>
      </c>
      <c r="R53" s="12">
        <v>5</v>
      </c>
      <c r="S53" s="12">
        <v>5</v>
      </c>
      <c r="T53" s="12">
        <v>5</v>
      </c>
      <c r="U53" s="12">
        <v>5</v>
      </c>
      <c r="V53" s="12">
        <f t="shared" si="0"/>
        <v>100</v>
      </c>
    </row>
    <row r="54" spans="1:22" ht="15.75">
      <c r="A54" s="12">
        <v>46</v>
      </c>
      <c r="B54" s="12">
        <v>4</v>
      </c>
      <c r="C54" s="12">
        <v>5</v>
      </c>
      <c r="D54" s="12">
        <v>5</v>
      </c>
      <c r="E54" s="12">
        <v>5</v>
      </c>
      <c r="F54" s="12">
        <v>5</v>
      </c>
      <c r="G54" s="12">
        <v>5</v>
      </c>
      <c r="H54" s="12">
        <v>5</v>
      </c>
      <c r="I54" s="12">
        <v>5</v>
      </c>
      <c r="J54" s="12">
        <v>5</v>
      </c>
      <c r="K54" s="12">
        <v>5</v>
      </c>
      <c r="L54" s="12">
        <v>5</v>
      </c>
      <c r="M54" s="12">
        <v>5</v>
      </c>
      <c r="N54" s="12">
        <v>5</v>
      </c>
      <c r="O54" s="12">
        <v>5</v>
      </c>
      <c r="P54" s="12">
        <v>5</v>
      </c>
      <c r="Q54" s="12">
        <v>5</v>
      </c>
      <c r="R54" s="12">
        <v>5</v>
      </c>
      <c r="S54" s="12">
        <v>5</v>
      </c>
      <c r="T54" s="12">
        <v>5</v>
      </c>
      <c r="U54" s="12">
        <v>5</v>
      </c>
      <c r="V54" s="12">
        <f t="shared" si="0"/>
        <v>99</v>
      </c>
    </row>
    <row r="55" spans="1:22" ht="15.75">
      <c r="A55" s="12">
        <v>47</v>
      </c>
      <c r="B55" s="12">
        <v>5</v>
      </c>
      <c r="C55" s="12">
        <v>5</v>
      </c>
      <c r="D55" s="12">
        <v>5</v>
      </c>
      <c r="E55" s="12">
        <v>5</v>
      </c>
      <c r="F55" s="12">
        <v>5</v>
      </c>
      <c r="G55" s="12">
        <v>5</v>
      </c>
      <c r="H55" s="12">
        <v>5</v>
      </c>
      <c r="I55" s="12">
        <v>5</v>
      </c>
      <c r="J55" s="12">
        <v>5</v>
      </c>
      <c r="K55" s="12">
        <v>5</v>
      </c>
      <c r="L55" s="12">
        <v>5</v>
      </c>
      <c r="M55" s="12">
        <v>5</v>
      </c>
      <c r="N55" s="12">
        <v>5</v>
      </c>
      <c r="O55" s="12">
        <v>5</v>
      </c>
      <c r="P55" s="12">
        <v>5</v>
      </c>
      <c r="Q55" s="12">
        <v>5</v>
      </c>
      <c r="R55" s="12">
        <v>5</v>
      </c>
      <c r="S55" s="12">
        <v>5</v>
      </c>
      <c r="T55" s="12">
        <v>5</v>
      </c>
      <c r="U55" s="12">
        <v>5</v>
      </c>
      <c r="V55" s="12">
        <f t="shared" si="0"/>
        <v>100</v>
      </c>
    </row>
    <row r="56" spans="1:22" ht="15.75">
      <c r="A56" s="12">
        <v>48</v>
      </c>
      <c r="B56" s="12">
        <v>5</v>
      </c>
      <c r="C56" s="12">
        <v>5</v>
      </c>
      <c r="D56" s="12">
        <v>5</v>
      </c>
      <c r="E56" s="12">
        <v>5</v>
      </c>
      <c r="F56" s="12">
        <v>5</v>
      </c>
      <c r="G56" s="12">
        <v>5</v>
      </c>
      <c r="H56" s="12">
        <v>5</v>
      </c>
      <c r="I56" s="12">
        <v>5</v>
      </c>
      <c r="J56" s="12">
        <v>5</v>
      </c>
      <c r="K56" s="12">
        <v>5</v>
      </c>
      <c r="L56" s="12">
        <v>5</v>
      </c>
      <c r="M56" s="12">
        <v>5</v>
      </c>
      <c r="N56" s="12">
        <v>5</v>
      </c>
      <c r="O56" s="12">
        <v>5</v>
      </c>
      <c r="P56" s="12">
        <v>5</v>
      </c>
      <c r="Q56" s="12">
        <v>5</v>
      </c>
      <c r="R56" s="12">
        <v>5</v>
      </c>
      <c r="S56" s="12">
        <v>5</v>
      </c>
      <c r="T56" s="12">
        <v>5</v>
      </c>
      <c r="U56" s="12">
        <v>5</v>
      </c>
      <c r="V56" s="12">
        <f t="shared" si="0"/>
        <v>100</v>
      </c>
    </row>
    <row r="57" spans="1:22" ht="15.75">
      <c r="A57" s="12">
        <v>49</v>
      </c>
      <c r="B57" s="12">
        <v>5</v>
      </c>
      <c r="C57" s="12">
        <v>5</v>
      </c>
      <c r="D57" s="12">
        <v>5</v>
      </c>
      <c r="E57" s="12">
        <v>5</v>
      </c>
      <c r="F57" s="12">
        <v>5</v>
      </c>
      <c r="G57" s="12">
        <v>5</v>
      </c>
      <c r="H57" s="12">
        <v>5</v>
      </c>
      <c r="I57" s="12">
        <v>5</v>
      </c>
      <c r="J57" s="12">
        <v>5</v>
      </c>
      <c r="K57" s="12">
        <v>5</v>
      </c>
      <c r="L57" s="12">
        <v>5</v>
      </c>
      <c r="M57" s="12">
        <v>5</v>
      </c>
      <c r="N57" s="12">
        <v>5</v>
      </c>
      <c r="O57" s="12">
        <v>5</v>
      </c>
      <c r="P57" s="12">
        <v>5</v>
      </c>
      <c r="Q57" s="12">
        <v>5</v>
      </c>
      <c r="R57" s="12">
        <v>5</v>
      </c>
      <c r="S57" s="12">
        <v>5</v>
      </c>
      <c r="T57" s="12">
        <v>5</v>
      </c>
      <c r="U57" s="12">
        <v>5</v>
      </c>
      <c r="V57" s="12">
        <f t="shared" si="0"/>
        <v>100</v>
      </c>
    </row>
    <row r="58" spans="1:22" ht="15.75">
      <c r="A58" s="12">
        <v>50</v>
      </c>
      <c r="B58" s="12">
        <v>5</v>
      </c>
      <c r="C58" s="12">
        <v>5</v>
      </c>
      <c r="D58" s="12">
        <v>5</v>
      </c>
      <c r="E58" s="12">
        <v>5</v>
      </c>
      <c r="F58" s="12">
        <v>5</v>
      </c>
      <c r="G58" s="12">
        <v>5</v>
      </c>
      <c r="H58" s="12">
        <v>5</v>
      </c>
      <c r="I58" s="12">
        <v>5</v>
      </c>
      <c r="J58" s="12">
        <v>5</v>
      </c>
      <c r="K58" s="12">
        <v>5</v>
      </c>
      <c r="L58" s="12">
        <v>5</v>
      </c>
      <c r="M58" s="12">
        <v>5</v>
      </c>
      <c r="N58" s="12">
        <v>5</v>
      </c>
      <c r="O58" s="12">
        <v>5</v>
      </c>
      <c r="P58" s="12">
        <v>5</v>
      </c>
      <c r="Q58" s="12">
        <v>5</v>
      </c>
      <c r="R58" s="12">
        <v>5</v>
      </c>
      <c r="S58" s="12">
        <v>5</v>
      </c>
      <c r="T58" s="12">
        <v>5</v>
      </c>
      <c r="U58" s="12">
        <v>5</v>
      </c>
      <c r="V58" s="12">
        <f t="shared" si="0"/>
        <v>100</v>
      </c>
    </row>
    <row r="59" spans="1:22" ht="15.75">
      <c r="A59" s="12">
        <v>51</v>
      </c>
      <c r="B59" s="12">
        <v>5</v>
      </c>
      <c r="C59" s="12">
        <v>5</v>
      </c>
      <c r="D59" s="12">
        <v>5</v>
      </c>
      <c r="E59" s="12">
        <v>5</v>
      </c>
      <c r="F59" s="12">
        <v>5</v>
      </c>
      <c r="G59" s="12">
        <v>5</v>
      </c>
      <c r="H59" s="12">
        <v>5</v>
      </c>
      <c r="I59" s="12">
        <v>5</v>
      </c>
      <c r="J59" s="12">
        <v>5</v>
      </c>
      <c r="K59" s="12">
        <v>5</v>
      </c>
      <c r="L59" s="12">
        <v>5</v>
      </c>
      <c r="M59" s="12">
        <v>5</v>
      </c>
      <c r="N59" s="12">
        <v>5</v>
      </c>
      <c r="O59" s="12">
        <v>5</v>
      </c>
      <c r="P59" s="12">
        <v>5</v>
      </c>
      <c r="Q59" s="12">
        <v>5</v>
      </c>
      <c r="R59" s="12">
        <v>5</v>
      </c>
      <c r="S59" s="12">
        <v>5</v>
      </c>
      <c r="T59" s="12">
        <v>5</v>
      </c>
      <c r="U59" s="12">
        <v>5</v>
      </c>
      <c r="V59" s="12">
        <f t="shared" si="0"/>
        <v>100</v>
      </c>
    </row>
    <row r="60" spans="1:22" ht="15.75">
      <c r="A60" s="12">
        <v>52</v>
      </c>
      <c r="B60" s="12">
        <v>5</v>
      </c>
      <c r="C60" s="12">
        <v>5</v>
      </c>
      <c r="D60" s="12">
        <v>5</v>
      </c>
      <c r="E60" s="12">
        <v>5</v>
      </c>
      <c r="F60" s="12">
        <v>5</v>
      </c>
      <c r="G60" s="12">
        <v>5</v>
      </c>
      <c r="H60" s="12">
        <v>5</v>
      </c>
      <c r="I60" s="12">
        <v>5</v>
      </c>
      <c r="J60" s="12">
        <v>5</v>
      </c>
      <c r="K60" s="12">
        <v>5</v>
      </c>
      <c r="L60" s="12">
        <v>5</v>
      </c>
      <c r="M60" s="12">
        <v>5</v>
      </c>
      <c r="N60" s="12">
        <v>5</v>
      </c>
      <c r="O60" s="12">
        <v>5</v>
      </c>
      <c r="P60" s="12">
        <v>5</v>
      </c>
      <c r="Q60" s="12">
        <v>5</v>
      </c>
      <c r="R60" s="12">
        <v>5</v>
      </c>
      <c r="S60" s="12">
        <v>5</v>
      </c>
      <c r="T60" s="12">
        <v>5</v>
      </c>
      <c r="U60" s="12">
        <v>5</v>
      </c>
      <c r="V60" s="12">
        <f t="shared" si="0"/>
        <v>100</v>
      </c>
    </row>
    <row r="61" spans="1:22" ht="15.75">
      <c r="A61" s="12">
        <v>53</v>
      </c>
      <c r="B61" s="12">
        <v>5</v>
      </c>
      <c r="C61" s="12">
        <v>5</v>
      </c>
      <c r="D61" s="12">
        <v>5</v>
      </c>
      <c r="E61" s="12">
        <v>5</v>
      </c>
      <c r="F61" s="12">
        <v>5</v>
      </c>
      <c r="G61" s="12">
        <v>5</v>
      </c>
      <c r="H61" s="12">
        <v>5</v>
      </c>
      <c r="I61" s="12">
        <v>5</v>
      </c>
      <c r="J61" s="12">
        <v>5</v>
      </c>
      <c r="K61" s="12">
        <v>5</v>
      </c>
      <c r="L61" s="12">
        <v>5</v>
      </c>
      <c r="M61" s="12">
        <v>5</v>
      </c>
      <c r="N61" s="12">
        <v>5</v>
      </c>
      <c r="O61" s="12">
        <v>5</v>
      </c>
      <c r="P61" s="12">
        <v>5</v>
      </c>
      <c r="Q61" s="12">
        <v>5</v>
      </c>
      <c r="R61" s="12">
        <v>5</v>
      </c>
      <c r="S61" s="12">
        <v>5</v>
      </c>
      <c r="T61" s="12">
        <v>5</v>
      </c>
      <c r="U61" s="12">
        <v>5</v>
      </c>
      <c r="V61" s="12">
        <f t="shared" si="0"/>
        <v>100</v>
      </c>
    </row>
    <row r="62" spans="1:22" ht="15.75">
      <c r="A62" s="12">
        <v>54</v>
      </c>
      <c r="B62" s="12">
        <v>5</v>
      </c>
      <c r="C62" s="12">
        <v>5</v>
      </c>
      <c r="D62" s="12">
        <v>5</v>
      </c>
      <c r="E62" s="12">
        <v>5</v>
      </c>
      <c r="F62" s="12">
        <v>5</v>
      </c>
      <c r="G62" s="12">
        <v>5</v>
      </c>
      <c r="H62" s="12">
        <v>5</v>
      </c>
      <c r="I62" s="12">
        <v>5</v>
      </c>
      <c r="J62" s="12">
        <v>5</v>
      </c>
      <c r="K62" s="12">
        <v>5</v>
      </c>
      <c r="L62" s="12">
        <v>5</v>
      </c>
      <c r="M62" s="12">
        <v>5</v>
      </c>
      <c r="N62" s="12">
        <v>5</v>
      </c>
      <c r="O62" s="12">
        <v>5</v>
      </c>
      <c r="P62" s="12">
        <v>5</v>
      </c>
      <c r="Q62" s="12">
        <v>5</v>
      </c>
      <c r="R62" s="12">
        <v>5</v>
      </c>
      <c r="S62" s="12">
        <v>5</v>
      </c>
      <c r="T62" s="12">
        <v>5</v>
      </c>
      <c r="U62" s="12">
        <v>5</v>
      </c>
      <c r="V62" s="12">
        <f t="shared" si="0"/>
        <v>100</v>
      </c>
    </row>
    <row r="63" spans="1:22" ht="15.75">
      <c r="A63" s="12">
        <v>55</v>
      </c>
      <c r="B63" s="12">
        <v>5</v>
      </c>
      <c r="C63" s="12">
        <v>5</v>
      </c>
      <c r="D63" s="12">
        <v>5</v>
      </c>
      <c r="E63" s="12">
        <v>5</v>
      </c>
      <c r="F63" s="12">
        <v>5</v>
      </c>
      <c r="G63" s="12">
        <v>5</v>
      </c>
      <c r="H63" s="12">
        <v>5</v>
      </c>
      <c r="I63" s="12">
        <v>5</v>
      </c>
      <c r="J63" s="12">
        <v>5</v>
      </c>
      <c r="K63" s="12">
        <v>5</v>
      </c>
      <c r="L63" s="12">
        <v>5</v>
      </c>
      <c r="M63" s="12">
        <v>5</v>
      </c>
      <c r="N63" s="12">
        <v>5</v>
      </c>
      <c r="O63" s="12">
        <v>5</v>
      </c>
      <c r="P63" s="12">
        <v>5</v>
      </c>
      <c r="Q63" s="12">
        <v>5</v>
      </c>
      <c r="R63" s="12">
        <v>5</v>
      </c>
      <c r="S63" s="12">
        <v>5</v>
      </c>
      <c r="T63" s="12">
        <v>5</v>
      </c>
      <c r="U63" s="12">
        <v>5</v>
      </c>
      <c r="V63" s="12">
        <f t="shared" si="0"/>
        <v>100</v>
      </c>
    </row>
    <row r="64" spans="1:22" ht="15.75">
      <c r="A64" s="13"/>
      <c r="B64" s="12">
        <f t="shared" ref="B64:U64" si="1">SUM(B9:B60)</f>
        <v>251</v>
      </c>
      <c r="C64" s="12">
        <f t="shared" si="1"/>
        <v>248</v>
      </c>
      <c r="D64" s="12">
        <f t="shared" si="1"/>
        <v>248</v>
      </c>
      <c r="E64" s="12">
        <f t="shared" si="1"/>
        <v>251</v>
      </c>
      <c r="F64" s="12">
        <f t="shared" si="1"/>
        <v>248</v>
      </c>
      <c r="G64" s="12">
        <f t="shared" si="1"/>
        <v>249</v>
      </c>
      <c r="H64" s="12">
        <f t="shared" si="1"/>
        <v>248</v>
      </c>
      <c r="I64" s="12">
        <f t="shared" si="1"/>
        <v>247</v>
      </c>
      <c r="J64" s="12">
        <f t="shared" si="1"/>
        <v>249</v>
      </c>
      <c r="K64" s="12">
        <f t="shared" si="1"/>
        <v>253</v>
      </c>
      <c r="L64" s="12">
        <f t="shared" si="1"/>
        <v>253</v>
      </c>
      <c r="M64" s="12">
        <f t="shared" si="1"/>
        <v>237</v>
      </c>
      <c r="N64" s="12">
        <f t="shared" si="1"/>
        <v>244</v>
      </c>
      <c r="O64" s="12">
        <f t="shared" si="1"/>
        <v>255</v>
      </c>
      <c r="P64" s="12">
        <f t="shared" si="1"/>
        <v>251</v>
      </c>
      <c r="Q64" s="12">
        <f t="shared" si="1"/>
        <v>251</v>
      </c>
      <c r="R64" s="12">
        <f t="shared" si="1"/>
        <v>255</v>
      </c>
      <c r="S64" s="12">
        <f t="shared" si="1"/>
        <v>255</v>
      </c>
      <c r="T64" s="12">
        <f t="shared" si="1"/>
        <v>253</v>
      </c>
      <c r="U64" s="12">
        <f t="shared" si="1"/>
        <v>248</v>
      </c>
      <c r="V64" s="12">
        <f t="shared" si="0"/>
        <v>4994</v>
      </c>
    </row>
    <row r="65" spans="1:22" ht="15.75">
      <c r="A65" s="13"/>
      <c r="B65" s="43">
        <f>B64/55</f>
        <v>4.5636363636363599</v>
      </c>
      <c r="C65" s="43">
        <f t="shared" ref="C65:U65" si="2">C64/55</f>
        <v>4.5090909090909097</v>
      </c>
      <c r="D65" s="43">
        <f t="shared" si="2"/>
        <v>4.5090909090909097</v>
      </c>
      <c r="E65" s="43">
        <f t="shared" si="2"/>
        <v>4.5636363636363599</v>
      </c>
      <c r="F65" s="43">
        <f t="shared" si="2"/>
        <v>4.5090909090909097</v>
      </c>
      <c r="G65" s="43">
        <f t="shared" si="2"/>
        <v>4.52727272727273</v>
      </c>
      <c r="H65" s="43">
        <f t="shared" si="2"/>
        <v>4.5090909090909097</v>
      </c>
      <c r="I65" s="43">
        <f t="shared" si="2"/>
        <v>4.4909090909090903</v>
      </c>
      <c r="J65" s="43">
        <f t="shared" si="2"/>
        <v>4.52727272727273</v>
      </c>
      <c r="K65" s="43">
        <f t="shared" si="2"/>
        <v>4.5999999999999996</v>
      </c>
      <c r="L65" s="43">
        <f t="shared" si="2"/>
        <v>4.5999999999999996</v>
      </c>
      <c r="M65" s="43">
        <f t="shared" si="2"/>
        <v>4.3090909090909104</v>
      </c>
      <c r="N65" s="43">
        <f t="shared" si="2"/>
        <v>4.4363636363636401</v>
      </c>
      <c r="O65" s="43">
        <f t="shared" si="2"/>
        <v>4.6363636363636402</v>
      </c>
      <c r="P65" s="43">
        <f t="shared" si="2"/>
        <v>4.5636363636363599</v>
      </c>
      <c r="Q65" s="43">
        <f t="shared" si="2"/>
        <v>4.5636363636363599</v>
      </c>
      <c r="R65" s="43">
        <f t="shared" si="2"/>
        <v>4.6363636363636402</v>
      </c>
      <c r="S65" s="43">
        <f t="shared" si="2"/>
        <v>4.6363636363636402</v>
      </c>
      <c r="T65" s="43">
        <f t="shared" si="2"/>
        <v>4.5999999999999996</v>
      </c>
      <c r="U65" s="43">
        <f t="shared" si="2"/>
        <v>4.5090909090909097</v>
      </c>
      <c r="V65" s="36">
        <f>ROUND((V64/55/20),2)</f>
        <v>4.54</v>
      </c>
    </row>
    <row r="66" spans="1:22" ht="15.75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9"/>
      <c r="U66" s="19"/>
      <c r="V66" s="27"/>
    </row>
    <row r="67" spans="1:22">
      <c r="A67" s="99" t="s">
        <v>8</v>
      </c>
      <c r="B67" s="20">
        <v>1.1000000000000001</v>
      </c>
      <c r="C67" s="20">
        <v>1.2</v>
      </c>
      <c r="D67" s="20">
        <v>1.3</v>
      </c>
      <c r="E67" s="20">
        <v>1.4</v>
      </c>
      <c r="F67" s="20">
        <v>1.5</v>
      </c>
      <c r="G67" s="20">
        <v>2.1</v>
      </c>
      <c r="H67" s="20">
        <v>2.2000000000000002</v>
      </c>
      <c r="I67" s="20">
        <v>2.2999999999999998</v>
      </c>
      <c r="J67" s="20">
        <v>2.4</v>
      </c>
      <c r="K67" s="20">
        <v>2.5</v>
      </c>
      <c r="L67" s="20">
        <v>3.1</v>
      </c>
      <c r="M67" s="20">
        <v>3.2</v>
      </c>
      <c r="N67" s="20">
        <v>3.3</v>
      </c>
      <c r="O67" s="20">
        <v>3.4</v>
      </c>
      <c r="P67" s="20">
        <v>3.5</v>
      </c>
      <c r="Q67" s="20">
        <v>4.0999999999999996</v>
      </c>
      <c r="R67" s="20">
        <v>4.2</v>
      </c>
      <c r="S67" s="20">
        <v>4.3</v>
      </c>
      <c r="T67" s="20">
        <v>4.4000000000000004</v>
      </c>
      <c r="U67" s="20">
        <v>4.5</v>
      </c>
      <c r="V67" s="102" t="s">
        <v>7</v>
      </c>
    </row>
    <row r="68" spans="1:22">
      <c r="A68" s="100"/>
      <c r="B68" s="89" t="s">
        <v>9</v>
      </c>
      <c r="C68" s="89"/>
      <c r="D68" s="89"/>
      <c r="E68" s="89"/>
      <c r="F68" s="89"/>
      <c r="G68" s="90" t="s">
        <v>10</v>
      </c>
      <c r="H68" s="90"/>
      <c r="I68" s="90"/>
      <c r="J68" s="90"/>
      <c r="K68" s="90"/>
      <c r="L68" s="90" t="s">
        <v>11</v>
      </c>
      <c r="M68" s="90"/>
      <c r="N68" s="90"/>
      <c r="O68" s="90"/>
      <c r="P68" s="90"/>
      <c r="Q68" s="90" t="s">
        <v>12</v>
      </c>
      <c r="R68" s="90"/>
      <c r="S68" s="90"/>
      <c r="T68" s="90"/>
      <c r="U68" s="90"/>
      <c r="V68" s="103"/>
    </row>
    <row r="69" spans="1:22" ht="15.75">
      <c r="A69" s="101"/>
      <c r="B69" s="21">
        <v>4.5636363636363599</v>
      </c>
      <c r="C69" s="21">
        <v>4.5090909090909097</v>
      </c>
      <c r="D69" s="21">
        <v>4.5090909090909097</v>
      </c>
      <c r="E69" s="21">
        <v>4.5636363636363599</v>
      </c>
      <c r="F69" s="21">
        <v>4.5090909090909097</v>
      </c>
      <c r="G69" s="21">
        <v>4.52727272727273</v>
      </c>
      <c r="H69" s="21">
        <v>4.5090909090909097</v>
      </c>
      <c r="I69" s="21">
        <v>4.4909090909090903</v>
      </c>
      <c r="J69" s="21">
        <v>4.52727272727273</v>
      </c>
      <c r="K69" s="21">
        <v>4.5636363636363599</v>
      </c>
      <c r="L69" s="21">
        <v>4.4545454545454497</v>
      </c>
      <c r="M69" s="21">
        <v>4.1636363636363596</v>
      </c>
      <c r="N69" s="21">
        <v>4.1454545454545499</v>
      </c>
      <c r="O69" s="21">
        <v>4.5636363636363599</v>
      </c>
      <c r="P69" s="21">
        <v>4.5090909090909097</v>
      </c>
      <c r="Q69" s="21">
        <v>4.5636363636363599</v>
      </c>
      <c r="R69" s="21">
        <v>4.5818181818181802</v>
      </c>
      <c r="S69" s="21">
        <v>4.6181818181818199</v>
      </c>
      <c r="T69" s="21">
        <v>4.5818181818181802</v>
      </c>
      <c r="U69" s="21">
        <v>4.4545454545454497</v>
      </c>
      <c r="V69" s="22">
        <v>4.54</v>
      </c>
    </row>
    <row r="70" spans="1:22">
      <c r="A70" s="92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2"/>
    </row>
    <row r="71" spans="1:22" ht="23.25">
      <c r="A71" s="23" t="s">
        <v>13</v>
      </c>
      <c r="B71" s="24">
        <v>1.1000000000000001</v>
      </c>
      <c r="C71" s="24">
        <v>1.2</v>
      </c>
      <c r="D71" s="24">
        <v>1.3</v>
      </c>
      <c r="E71" s="24">
        <v>1.4</v>
      </c>
      <c r="F71" s="24">
        <v>1.5</v>
      </c>
      <c r="G71" s="24">
        <v>2.1</v>
      </c>
      <c r="H71" s="24">
        <v>2.2000000000000002</v>
      </c>
      <c r="I71" s="24">
        <v>2.2999999999999998</v>
      </c>
      <c r="J71" s="24">
        <v>2.4</v>
      </c>
      <c r="K71" s="24">
        <v>2.5</v>
      </c>
      <c r="L71" s="24">
        <v>3.1</v>
      </c>
      <c r="M71" s="24">
        <v>3.2</v>
      </c>
      <c r="N71" s="24">
        <v>3.3</v>
      </c>
      <c r="O71" s="24">
        <v>3.4</v>
      </c>
      <c r="P71" s="24">
        <v>3.5</v>
      </c>
      <c r="Q71" s="24">
        <v>4.0999999999999996</v>
      </c>
      <c r="R71" s="24">
        <v>4.2</v>
      </c>
      <c r="S71" s="24">
        <v>4.3</v>
      </c>
      <c r="T71" s="24">
        <v>4.4000000000000004</v>
      </c>
      <c r="U71" s="24">
        <v>4.5</v>
      </c>
      <c r="V71" s="24" t="s">
        <v>6</v>
      </c>
    </row>
    <row r="72" spans="1:22">
      <c r="A72" s="20">
        <v>5</v>
      </c>
      <c r="B72" s="25">
        <f t="shared" ref="B72:H72" si="3">COUNTIF(B9:B63,5)</f>
        <v>47</v>
      </c>
      <c r="C72" s="25">
        <f t="shared" si="3"/>
        <v>43</v>
      </c>
      <c r="D72" s="25">
        <f t="shared" si="3"/>
        <v>44</v>
      </c>
      <c r="E72" s="25">
        <f t="shared" si="3"/>
        <v>46</v>
      </c>
      <c r="F72" s="25">
        <f t="shared" si="3"/>
        <v>44</v>
      </c>
      <c r="G72" s="25">
        <f t="shared" si="3"/>
        <v>48</v>
      </c>
      <c r="H72" s="25">
        <f t="shared" si="3"/>
        <v>48</v>
      </c>
      <c r="I72" s="25">
        <f t="shared" ref="I72:U72" si="4">COUNTIF(I9:I60,5)</f>
        <v>44</v>
      </c>
      <c r="J72" s="25">
        <f t="shared" si="4"/>
        <v>44</v>
      </c>
      <c r="K72" s="25">
        <f t="shared" si="4"/>
        <v>45</v>
      </c>
      <c r="L72" s="25">
        <f t="shared" si="4"/>
        <v>49</v>
      </c>
      <c r="M72" s="25">
        <f t="shared" si="4"/>
        <v>45</v>
      </c>
      <c r="N72" s="25">
        <f t="shared" si="4"/>
        <v>48</v>
      </c>
      <c r="O72" s="25">
        <f t="shared" si="4"/>
        <v>47</v>
      </c>
      <c r="P72" s="25">
        <f t="shared" si="4"/>
        <v>45</v>
      </c>
      <c r="Q72" s="25">
        <f t="shared" si="4"/>
        <v>43</v>
      </c>
      <c r="R72" s="25">
        <f t="shared" si="4"/>
        <v>48</v>
      </c>
      <c r="S72" s="25">
        <f t="shared" si="4"/>
        <v>47</v>
      </c>
      <c r="T72" s="25">
        <f t="shared" si="4"/>
        <v>46</v>
      </c>
      <c r="U72" s="25">
        <f t="shared" si="4"/>
        <v>41</v>
      </c>
      <c r="V72" s="25">
        <f>SUM(B72:U72)</f>
        <v>912</v>
      </c>
    </row>
    <row r="73" spans="1:22">
      <c r="A73" s="20">
        <v>4</v>
      </c>
      <c r="B73" s="25">
        <f t="shared" ref="B73:G73" si="5">COUNTIF(B9:B63,4)</f>
        <v>7</v>
      </c>
      <c r="C73" s="25">
        <f t="shared" si="5"/>
        <v>12</v>
      </c>
      <c r="D73" s="25">
        <f t="shared" si="5"/>
        <v>10</v>
      </c>
      <c r="E73" s="25">
        <f t="shared" si="5"/>
        <v>9</v>
      </c>
      <c r="F73" s="25">
        <f t="shared" si="5"/>
        <v>10</v>
      </c>
      <c r="G73" s="25">
        <f t="shared" si="5"/>
        <v>5</v>
      </c>
      <c r="H73" s="25">
        <f t="shared" ref="H73:U73" si="6">COUNTIF(H9:H60,4)</f>
        <v>4</v>
      </c>
      <c r="I73" s="25">
        <f t="shared" si="6"/>
        <v>6</v>
      </c>
      <c r="J73" s="25">
        <f t="shared" si="6"/>
        <v>5</v>
      </c>
      <c r="K73" s="25">
        <f t="shared" si="6"/>
        <v>7</v>
      </c>
      <c r="L73" s="25">
        <f t="shared" si="6"/>
        <v>1</v>
      </c>
      <c r="M73" s="25">
        <f t="shared" si="6"/>
        <v>1</v>
      </c>
      <c r="N73" s="25">
        <f t="shared" si="6"/>
        <v>0</v>
      </c>
      <c r="O73" s="25">
        <f t="shared" si="6"/>
        <v>5</v>
      </c>
      <c r="P73" s="25">
        <f t="shared" si="6"/>
        <v>5</v>
      </c>
      <c r="Q73" s="25">
        <f t="shared" si="6"/>
        <v>9</v>
      </c>
      <c r="R73" s="25">
        <f t="shared" si="6"/>
        <v>3</v>
      </c>
      <c r="S73" s="25">
        <f t="shared" si="6"/>
        <v>5</v>
      </c>
      <c r="T73" s="25">
        <f t="shared" si="6"/>
        <v>5</v>
      </c>
      <c r="U73" s="25">
        <f t="shared" si="6"/>
        <v>10</v>
      </c>
      <c r="V73" s="25">
        <f>SUM(B73:U73)</f>
        <v>119</v>
      </c>
    </row>
    <row r="74" spans="1:22">
      <c r="A74" s="20">
        <v>3</v>
      </c>
      <c r="B74" s="25">
        <f t="shared" ref="B74:G74" si="7">COUNTIF(B9:B63,3)</f>
        <v>1</v>
      </c>
      <c r="C74" s="25">
        <f t="shared" si="7"/>
        <v>0</v>
      </c>
      <c r="D74" s="25">
        <f t="shared" si="7"/>
        <v>1</v>
      </c>
      <c r="E74" s="25">
        <f t="shared" si="7"/>
        <v>0</v>
      </c>
      <c r="F74" s="25">
        <f t="shared" si="7"/>
        <v>1</v>
      </c>
      <c r="G74" s="25">
        <f t="shared" si="7"/>
        <v>1</v>
      </c>
      <c r="H74" s="25">
        <f t="shared" ref="H74:U74" si="8">COUNTIF(H9:H60,3)</f>
        <v>2</v>
      </c>
      <c r="I74" s="25">
        <f t="shared" si="8"/>
        <v>0</v>
      </c>
      <c r="J74" s="25">
        <f t="shared" si="8"/>
        <v>3</v>
      </c>
      <c r="K74" s="25">
        <f t="shared" si="8"/>
        <v>0</v>
      </c>
      <c r="L74" s="25">
        <f t="shared" si="8"/>
        <v>0</v>
      </c>
      <c r="M74" s="25">
        <f t="shared" si="8"/>
        <v>0</v>
      </c>
      <c r="N74" s="25">
        <f t="shared" si="8"/>
        <v>0</v>
      </c>
      <c r="O74" s="25">
        <f t="shared" si="8"/>
        <v>0</v>
      </c>
      <c r="P74" s="25">
        <f t="shared" si="8"/>
        <v>2</v>
      </c>
      <c r="Q74" s="25">
        <f t="shared" si="8"/>
        <v>0</v>
      </c>
      <c r="R74" s="25">
        <f t="shared" si="8"/>
        <v>1</v>
      </c>
      <c r="S74" s="25">
        <f t="shared" si="8"/>
        <v>0</v>
      </c>
      <c r="T74" s="25">
        <f t="shared" si="8"/>
        <v>1</v>
      </c>
      <c r="U74" s="25">
        <f t="shared" si="8"/>
        <v>1</v>
      </c>
      <c r="V74" s="25">
        <f>SUM(B74:U74)</f>
        <v>14</v>
      </c>
    </row>
    <row r="75" spans="1:22">
      <c r="A75" s="20">
        <v>2</v>
      </c>
      <c r="B75" s="25">
        <f t="shared" ref="B75:G75" si="9">COUNTIF(B9:B63,2)</f>
        <v>0</v>
      </c>
      <c r="C75" s="25">
        <f t="shared" si="9"/>
        <v>0</v>
      </c>
      <c r="D75" s="25">
        <f t="shared" si="9"/>
        <v>0</v>
      </c>
      <c r="E75" s="25">
        <f t="shared" si="9"/>
        <v>0</v>
      </c>
      <c r="F75" s="25">
        <f t="shared" si="9"/>
        <v>0</v>
      </c>
      <c r="G75" s="25">
        <f t="shared" si="9"/>
        <v>0</v>
      </c>
      <c r="H75" s="25">
        <f t="shared" ref="H75:U75" si="10">COUNTIF(H9:H60,2)</f>
        <v>0</v>
      </c>
      <c r="I75" s="25">
        <f t="shared" si="10"/>
        <v>1</v>
      </c>
      <c r="J75" s="25">
        <f t="shared" si="10"/>
        <v>0</v>
      </c>
      <c r="K75" s="25">
        <f t="shared" si="10"/>
        <v>0</v>
      </c>
      <c r="L75" s="25">
        <f t="shared" si="10"/>
        <v>2</v>
      </c>
      <c r="M75" s="25">
        <f t="shared" si="10"/>
        <v>2</v>
      </c>
      <c r="N75" s="25">
        <f t="shared" si="10"/>
        <v>0</v>
      </c>
      <c r="O75" s="25">
        <f t="shared" si="10"/>
        <v>0</v>
      </c>
      <c r="P75" s="25">
        <f t="shared" si="10"/>
        <v>0</v>
      </c>
      <c r="Q75" s="25">
        <f t="shared" si="10"/>
        <v>0</v>
      </c>
      <c r="R75" s="25">
        <f t="shared" si="10"/>
        <v>0</v>
      </c>
      <c r="S75" s="25">
        <f t="shared" si="10"/>
        <v>0</v>
      </c>
      <c r="T75" s="25">
        <f t="shared" si="10"/>
        <v>0</v>
      </c>
      <c r="U75" s="25">
        <f t="shared" si="10"/>
        <v>0</v>
      </c>
      <c r="V75" s="25">
        <f>SUM(B75:U75)</f>
        <v>5</v>
      </c>
    </row>
    <row r="76" spans="1:22">
      <c r="A76" s="20">
        <v>1</v>
      </c>
      <c r="B76" s="25">
        <f t="shared" ref="B76:G76" si="11">COUNTIF(B9:B63,1)</f>
        <v>0</v>
      </c>
      <c r="C76" s="25">
        <f t="shared" si="11"/>
        <v>0</v>
      </c>
      <c r="D76" s="25">
        <f t="shared" si="11"/>
        <v>0</v>
      </c>
      <c r="E76" s="25">
        <f t="shared" si="11"/>
        <v>0</v>
      </c>
      <c r="F76" s="25">
        <f t="shared" si="11"/>
        <v>0</v>
      </c>
      <c r="G76" s="25">
        <f t="shared" si="11"/>
        <v>1</v>
      </c>
      <c r="H76" s="25">
        <f t="shared" ref="H76:U76" si="12">COUNTIF(H9:H60,1)</f>
        <v>1</v>
      </c>
      <c r="I76" s="25">
        <f t="shared" si="12"/>
        <v>1</v>
      </c>
      <c r="J76" s="25">
        <f t="shared" si="12"/>
        <v>0</v>
      </c>
      <c r="K76" s="25">
        <f t="shared" si="12"/>
        <v>0</v>
      </c>
      <c r="L76" s="25">
        <f t="shared" si="12"/>
        <v>0</v>
      </c>
      <c r="M76" s="25">
        <f t="shared" si="12"/>
        <v>4</v>
      </c>
      <c r="N76" s="25">
        <f t="shared" si="12"/>
        <v>4</v>
      </c>
      <c r="O76" s="25">
        <f t="shared" si="12"/>
        <v>0</v>
      </c>
      <c r="P76" s="25">
        <f t="shared" si="12"/>
        <v>0</v>
      </c>
      <c r="Q76" s="25">
        <f t="shared" si="12"/>
        <v>0</v>
      </c>
      <c r="R76" s="25">
        <f t="shared" si="12"/>
        <v>0</v>
      </c>
      <c r="S76" s="25">
        <f t="shared" si="12"/>
        <v>0</v>
      </c>
      <c r="T76" s="25">
        <f t="shared" si="12"/>
        <v>0</v>
      </c>
      <c r="U76" s="25">
        <f t="shared" si="12"/>
        <v>0</v>
      </c>
      <c r="V76" s="25">
        <f>SUM(B76:U76)</f>
        <v>11</v>
      </c>
    </row>
    <row r="77" spans="1:22" ht="15.75">
      <c r="A77" s="26"/>
      <c r="B77" s="26"/>
      <c r="C77" s="26"/>
      <c r="D77" s="26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27"/>
    </row>
    <row r="79" spans="1:22">
      <c r="A79" s="96" t="s">
        <v>9</v>
      </c>
      <c r="B79" s="97"/>
      <c r="C79" s="98"/>
      <c r="D79" s="29">
        <v>4.5636363636363599</v>
      </c>
      <c r="E79" s="29">
        <v>4.5090909090909097</v>
      </c>
      <c r="F79" s="29">
        <v>4.5090909090909097</v>
      </c>
      <c r="G79" s="29">
        <v>4.5636363636363599</v>
      </c>
      <c r="H79" s="29">
        <v>4.5090909090909097</v>
      </c>
    </row>
    <row r="80" spans="1:22">
      <c r="A80" s="96" t="s">
        <v>10</v>
      </c>
      <c r="B80" s="97"/>
      <c r="C80" s="98"/>
      <c r="D80" s="29">
        <v>4.52727272727273</v>
      </c>
      <c r="E80" s="29">
        <v>4.5090909090909097</v>
      </c>
      <c r="F80" s="29">
        <v>4.4909090909090903</v>
      </c>
      <c r="G80" s="29">
        <v>4.52727272727273</v>
      </c>
      <c r="H80" s="29">
        <v>4.5636363636363599</v>
      </c>
    </row>
    <row r="81" spans="1:22">
      <c r="A81" s="96" t="s">
        <v>14</v>
      </c>
      <c r="B81" s="97"/>
      <c r="C81" s="98"/>
      <c r="D81" s="29">
        <v>4.4545454545454497</v>
      </c>
      <c r="E81" s="29">
        <v>4.1636363636363596</v>
      </c>
      <c r="F81" s="29">
        <v>4.1454545454545499</v>
      </c>
      <c r="G81" s="29">
        <v>4.5636363636363599</v>
      </c>
      <c r="H81" s="29">
        <v>4.5090909090909097</v>
      </c>
    </row>
    <row r="82" spans="1:22">
      <c r="A82" s="96" t="s">
        <v>12</v>
      </c>
      <c r="B82" s="97"/>
      <c r="C82" s="98"/>
      <c r="D82" s="29">
        <v>4.5636363636363599</v>
      </c>
      <c r="E82" s="29">
        <v>4.5818181818181802</v>
      </c>
      <c r="F82" s="29">
        <v>4.6181818181818199</v>
      </c>
      <c r="G82" s="29">
        <v>4.5818181818181802</v>
      </c>
      <c r="H82" s="29">
        <v>4.4545454545454497</v>
      </c>
    </row>
    <row r="83" spans="1:22">
      <c r="D83" s="17"/>
      <c r="E83" s="17"/>
      <c r="F83" s="17"/>
      <c r="G83" s="17"/>
      <c r="H83" s="17"/>
    </row>
    <row r="89" spans="1:22" ht="15.75">
      <c r="U89" s="30"/>
      <c r="V89" s="30"/>
    </row>
    <row r="92" spans="1:22" ht="15.75">
      <c r="A92" s="30" t="s">
        <v>15</v>
      </c>
      <c r="B92" s="30"/>
      <c r="C92" s="30"/>
      <c r="D92" s="30"/>
      <c r="E92" s="30"/>
      <c r="F92" s="30"/>
      <c r="G92" s="30"/>
      <c r="H92" s="30"/>
      <c r="I92" s="30"/>
      <c r="J92" s="30" t="s">
        <v>16</v>
      </c>
      <c r="K92" s="30"/>
      <c r="L92" s="30"/>
      <c r="M92" s="30"/>
      <c r="N92" s="30"/>
      <c r="O92" s="30"/>
      <c r="P92" s="30"/>
      <c r="Q92" s="30"/>
      <c r="R92" s="30"/>
      <c r="S92" s="30"/>
      <c r="T92" s="30" t="s">
        <v>17</v>
      </c>
    </row>
  </sheetData>
  <mergeCells count="14">
    <mergeCell ref="A70:V70"/>
    <mergeCell ref="A79:C79"/>
    <mergeCell ref="A80:C80"/>
    <mergeCell ref="A81:C81"/>
    <mergeCell ref="A82:C82"/>
    <mergeCell ref="A4:V4"/>
    <mergeCell ref="A5:V5"/>
    <mergeCell ref="F6:P6"/>
    <mergeCell ref="B68:F68"/>
    <mergeCell ref="G68:K68"/>
    <mergeCell ref="L68:P68"/>
    <mergeCell ref="Q68:U68"/>
    <mergeCell ref="A67:A69"/>
    <mergeCell ref="V67:V68"/>
  </mergeCells>
  <pageMargins left="0.25" right="0.25" top="0.75" bottom="0.59027777777777801" header="0.3" footer="0.3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4:W93"/>
  <sheetViews>
    <sheetView topLeftCell="A71" workbookViewId="0">
      <selection activeCell="O98" sqref="O98"/>
    </sheetView>
  </sheetViews>
  <sheetFormatPr defaultColWidth="9" defaultRowHeight="15"/>
  <cols>
    <col min="1" max="22" width="8.5703125" customWidth="1"/>
    <col min="23" max="23" width="7.28515625" customWidth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28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30</v>
      </c>
      <c r="R7" s="5" t="s">
        <v>31</v>
      </c>
      <c r="S7" s="5"/>
      <c r="T7" s="5"/>
      <c r="U7" s="6"/>
      <c r="V7" s="3"/>
    </row>
    <row r="8" spans="1:22" ht="15.75" customHeight="1">
      <c r="A8" s="7" t="s">
        <v>5</v>
      </c>
      <c r="B8" s="8">
        <v>1.1000000000000001</v>
      </c>
      <c r="C8" s="8">
        <v>1.2</v>
      </c>
      <c r="D8" s="8">
        <v>1.3</v>
      </c>
      <c r="E8" s="8">
        <v>1.4</v>
      </c>
      <c r="F8" s="8">
        <v>1.5</v>
      </c>
      <c r="G8" s="8">
        <v>2.1</v>
      </c>
      <c r="H8" s="8">
        <v>2.2000000000000002</v>
      </c>
      <c r="I8" s="8">
        <v>2.2999999999999998</v>
      </c>
      <c r="J8" s="8">
        <v>2.4</v>
      </c>
      <c r="K8" s="8">
        <v>2.5</v>
      </c>
      <c r="L8" s="8">
        <v>3.1</v>
      </c>
      <c r="M8" s="8">
        <v>3.2</v>
      </c>
      <c r="N8" s="8">
        <v>3.3</v>
      </c>
      <c r="O8" s="8">
        <v>3.4</v>
      </c>
      <c r="P8" s="8">
        <v>3.5</v>
      </c>
      <c r="Q8" s="8">
        <v>4.0999999999999996</v>
      </c>
      <c r="R8" s="8">
        <v>4.2</v>
      </c>
      <c r="S8" s="8">
        <v>4.3</v>
      </c>
      <c r="T8" s="8">
        <v>4.4000000000000004</v>
      </c>
      <c r="U8" s="8">
        <v>4.5</v>
      </c>
      <c r="V8" s="9" t="s">
        <v>6</v>
      </c>
    </row>
    <row r="9" spans="1:22" ht="15.75" customHeight="1">
      <c r="A9" s="10">
        <v>1</v>
      </c>
      <c r="B9" s="12">
        <v>4</v>
      </c>
      <c r="C9" s="12">
        <v>3</v>
      </c>
      <c r="D9" s="12">
        <v>4</v>
      </c>
      <c r="E9" s="12">
        <v>4</v>
      </c>
      <c r="F9" s="12">
        <v>3</v>
      </c>
      <c r="G9" s="12">
        <v>4</v>
      </c>
      <c r="H9" s="12">
        <v>3</v>
      </c>
      <c r="I9" s="12">
        <v>4</v>
      </c>
      <c r="J9" s="12">
        <v>4</v>
      </c>
      <c r="K9" s="12">
        <v>4</v>
      </c>
      <c r="L9" s="12">
        <v>4</v>
      </c>
      <c r="M9" s="12">
        <v>4</v>
      </c>
      <c r="N9" s="12">
        <v>4</v>
      </c>
      <c r="O9" s="12">
        <v>4</v>
      </c>
      <c r="P9" s="12">
        <v>4</v>
      </c>
      <c r="Q9" s="12">
        <v>4</v>
      </c>
      <c r="R9" s="12">
        <v>4</v>
      </c>
      <c r="S9" s="12">
        <v>4</v>
      </c>
      <c r="T9" s="12">
        <v>4</v>
      </c>
      <c r="U9" s="12">
        <v>4</v>
      </c>
      <c r="V9" s="11">
        <f>SUM(B9:U9)</f>
        <v>77</v>
      </c>
    </row>
    <row r="10" spans="1:22" ht="15.75" customHeight="1">
      <c r="A10" s="10">
        <v>2</v>
      </c>
      <c r="B10" s="12">
        <v>5</v>
      </c>
      <c r="C10" s="12">
        <v>5</v>
      </c>
      <c r="D10" s="12">
        <v>5</v>
      </c>
      <c r="E10" s="12">
        <v>5</v>
      </c>
      <c r="F10" s="12">
        <v>5</v>
      </c>
      <c r="G10" s="12">
        <v>5</v>
      </c>
      <c r="H10" s="12">
        <v>5</v>
      </c>
      <c r="I10" s="12">
        <v>5</v>
      </c>
      <c r="J10" s="12">
        <v>5</v>
      </c>
      <c r="K10" s="12">
        <v>5</v>
      </c>
      <c r="L10" s="12">
        <v>5</v>
      </c>
      <c r="M10" s="12">
        <v>5</v>
      </c>
      <c r="N10" s="12">
        <v>5</v>
      </c>
      <c r="O10" s="12">
        <v>5</v>
      </c>
      <c r="P10" s="12">
        <v>5</v>
      </c>
      <c r="Q10" s="12">
        <v>5</v>
      </c>
      <c r="R10" s="12">
        <v>5</v>
      </c>
      <c r="S10" s="12">
        <v>5</v>
      </c>
      <c r="T10" s="12">
        <v>5</v>
      </c>
      <c r="U10" s="12">
        <v>5</v>
      </c>
      <c r="V10" s="11">
        <f t="shared" ref="V10:V66" si="0">SUM(B10:U10)</f>
        <v>100</v>
      </c>
    </row>
    <row r="11" spans="1:22" ht="15.75" customHeight="1">
      <c r="A11" s="10">
        <v>3</v>
      </c>
      <c r="B11" s="12">
        <v>5</v>
      </c>
      <c r="C11" s="12">
        <v>4</v>
      </c>
      <c r="D11" s="12">
        <v>3</v>
      </c>
      <c r="E11" s="12">
        <v>4</v>
      </c>
      <c r="F11" s="12">
        <v>3</v>
      </c>
      <c r="G11" s="12">
        <v>3</v>
      </c>
      <c r="H11" s="12">
        <v>3</v>
      </c>
      <c r="I11" s="12">
        <v>4</v>
      </c>
      <c r="J11" s="12">
        <v>4</v>
      </c>
      <c r="K11" s="12">
        <v>4</v>
      </c>
      <c r="L11" s="12">
        <v>5</v>
      </c>
      <c r="M11" s="12">
        <v>4</v>
      </c>
      <c r="N11" s="12">
        <v>4</v>
      </c>
      <c r="O11" s="12">
        <v>4</v>
      </c>
      <c r="P11" s="12">
        <v>3</v>
      </c>
      <c r="Q11" s="12">
        <v>4</v>
      </c>
      <c r="R11" s="12">
        <v>4</v>
      </c>
      <c r="S11" s="12">
        <v>4</v>
      </c>
      <c r="T11" s="12">
        <v>3</v>
      </c>
      <c r="U11" s="12">
        <v>5</v>
      </c>
      <c r="V11" s="11">
        <f t="shared" si="0"/>
        <v>77</v>
      </c>
    </row>
    <row r="12" spans="1:22" ht="15.75" customHeight="1">
      <c r="A12" s="10">
        <v>4</v>
      </c>
      <c r="B12" s="12">
        <v>4</v>
      </c>
      <c r="C12" s="12">
        <v>4</v>
      </c>
      <c r="D12" s="12">
        <v>4</v>
      </c>
      <c r="E12" s="12">
        <v>4</v>
      </c>
      <c r="F12" s="12">
        <v>4</v>
      </c>
      <c r="G12" s="12">
        <v>4</v>
      </c>
      <c r="H12" s="12">
        <v>4</v>
      </c>
      <c r="I12" s="12">
        <v>4</v>
      </c>
      <c r="J12" s="12">
        <v>4</v>
      </c>
      <c r="K12" s="12">
        <v>5</v>
      </c>
      <c r="L12" s="12">
        <v>4</v>
      </c>
      <c r="M12" s="12">
        <v>4</v>
      </c>
      <c r="N12" s="12">
        <v>5</v>
      </c>
      <c r="O12" s="12">
        <v>4</v>
      </c>
      <c r="P12" s="12">
        <v>4</v>
      </c>
      <c r="Q12" s="12">
        <v>5</v>
      </c>
      <c r="R12" s="12">
        <v>4</v>
      </c>
      <c r="S12" s="12">
        <v>5</v>
      </c>
      <c r="T12" s="12">
        <v>4</v>
      </c>
      <c r="U12" s="12">
        <v>4</v>
      </c>
      <c r="V12" s="11">
        <f t="shared" si="0"/>
        <v>84</v>
      </c>
    </row>
    <row r="13" spans="1:22" ht="15.75" customHeight="1">
      <c r="A13" s="10">
        <v>5</v>
      </c>
      <c r="B13" s="12">
        <v>5</v>
      </c>
      <c r="C13" s="12">
        <v>5</v>
      </c>
      <c r="D13" s="12">
        <v>5</v>
      </c>
      <c r="E13" s="12">
        <v>5</v>
      </c>
      <c r="F13" s="12">
        <v>5</v>
      </c>
      <c r="G13" s="12">
        <v>5</v>
      </c>
      <c r="H13" s="12">
        <v>5</v>
      </c>
      <c r="I13" s="12">
        <v>5</v>
      </c>
      <c r="J13" s="12">
        <v>5</v>
      </c>
      <c r="K13" s="12">
        <v>5</v>
      </c>
      <c r="L13" s="12">
        <v>5</v>
      </c>
      <c r="M13" s="12">
        <v>5</v>
      </c>
      <c r="N13" s="12">
        <v>5</v>
      </c>
      <c r="O13" s="12">
        <v>5</v>
      </c>
      <c r="P13" s="12">
        <v>5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1">
        <f t="shared" si="0"/>
        <v>100</v>
      </c>
    </row>
    <row r="14" spans="1:22" ht="15.75" customHeight="1">
      <c r="A14" s="10">
        <v>6</v>
      </c>
      <c r="B14" s="12">
        <v>4</v>
      </c>
      <c r="C14" s="12">
        <v>4</v>
      </c>
      <c r="D14" s="12">
        <v>4</v>
      </c>
      <c r="E14" s="12">
        <v>4</v>
      </c>
      <c r="F14" s="12">
        <v>4</v>
      </c>
      <c r="G14" s="12">
        <v>4</v>
      </c>
      <c r="H14" s="12">
        <v>4</v>
      </c>
      <c r="I14" s="12">
        <v>4</v>
      </c>
      <c r="J14" s="12">
        <v>4</v>
      </c>
      <c r="K14" s="12">
        <v>4</v>
      </c>
      <c r="L14" s="12">
        <v>4</v>
      </c>
      <c r="M14" s="12">
        <v>4</v>
      </c>
      <c r="N14" s="12">
        <v>4</v>
      </c>
      <c r="O14" s="12">
        <v>4</v>
      </c>
      <c r="P14" s="12">
        <v>4</v>
      </c>
      <c r="Q14" s="12">
        <v>4</v>
      </c>
      <c r="R14" s="12">
        <v>4</v>
      </c>
      <c r="S14" s="12">
        <v>4</v>
      </c>
      <c r="T14" s="12">
        <v>4</v>
      </c>
      <c r="U14" s="12">
        <v>5</v>
      </c>
      <c r="V14" s="11">
        <f t="shared" si="0"/>
        <v>81</v>
      </c>
    </row>
    <row r="15" spans="1:22" ht="15.75" customHeight="1">
      <c r="A15" s="10">
        <v>7</v>
      </c>
      <c r="B15" s="12">
        <v>4</v>
      </c>
      <c r="C15" s="12">
        <v>4</v>
      </c>
      <c r="D15" s="12">
        <v>4</v>
      </c>
      <c r="E15" s="12">
        <v>4</v>
      </c>
      <c r="F15" s="12">
        <v>3</v>
      </c>
      <c r="G15" s="12">
        <v>2</v>
      </c>
      <c r="H15" s="12">
        <v>3</v>
      </c>
      <c r="I15" s="12">
        <v>3</v>
      </c>
      <c r="J15" s="12">
        <v>2</v>
      </c>
      <c r="K15" s="12">
        <v>3</v>
      </c>
      <c r="L15" s="12">
        <v>3</v>
      </c>
      <c r="M15" s="12">
        <v>4</v>
      </c>
      <c r="N15" s="12">
        <v>4</v>
      </c>
      <c r="O15" s="12">
        <v>4</v>
      </c>
      <c r="P15" s="12">
        <v>4</v>
      </c>
      <c r="Q15" s="12">
        <v>3</v>
      </c>
      <c r="R15" s="12">
        <v>2</v>
      </c>
      <c r="S15" s="12">
        <v>3</v>
      </c>
      <c r="T15" s="12">
        <v>3</v>
      </c>
      <c r="U15" s="12">
        <v>4</v>
      </c>
      <c r="V15" s="11">
        <f t="shared" si="0"/>
        <v>66</v>
      </c>
    </row>
    <row r="16" spans="1:22" ht="15.75" customHeight="1">
      <c r="A16" s="10">
        <v>8</v>
      </c>
      <c r="B16" s="12">
        <v>1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1">
        <f t="shared" si="0"/>
        <v>20</v>
      </c>
    </row>
    <row r="17" spans="1:22" ht="15.75" customHeight="1">
      <c r="A17" s="10">
        <v>9</v>
      </c>
      <c r="B17" s="12">
        <v>5</v>
      </c>
      <c r="C17" s="12">
        <v>5</v>
      </c>
      <c r="D17" s="12">
        <v>5</v>
      </c>
      <c r="E17" s="12">
        <v>5</v>
      </c>
      <c r="F17" s="12">
        <v>3</v>
      </c>
      <c r="G17" s="12">
        <v>2</v>
      </c>
      <c r="H17" s="12">
        <v>3</v>
      </c>
      <c r="I17" s="12">
        <v>3</v>
      </c>
      <c r="J17" s="12">
        <v>5</v>
      </c>
      <c r="K17" s="12">
        <v>5</v>
      </c>
      <c r="L17" s="12">
        <v>5</v>
      </c>
      <c r="M17" s="12">
        <v>5</v>
      </c>
      <c r="N17" s="12">
        <v>5</v>
      </c>
      <c r="O17" s="12">
        <v>4</v>
      </c>
      <c r="P17" s="12">
        <v>4</v>
      </c>
      <c r="Q17" s="12">
        <v>4</v>
      </c>
      <c r="R17" s="12">
        <v>3</v>
      </c>
      <c r="S17" s="12">
        <v>3</v>
      </c>
      <c r="T17" s="12">
        <v>3</v>
      </c>
      <c r="U17" s="12">
        <v>3</v>
      </c>
      <c r="V17" s="11">
        <f t="shared" si="0"/>
        <v>80</v>
      </c>
    </row>
    <row r="18" spans="1:22" ht="15.75" customHeight="1">
      <c r="A18" s="10">
        <v>10</v>
      </c>
      <c r="B18" s="12">
        <v>5</v>
      </c>
      <c r="C18" s="12">
        <v>5</v>
      </c>
      <c r="D18" s="12">
        <v>5</v>
      </c>
      <c r="E18" s="12">
        <v>5</v>
      </c>
      <c r="F18" s="12">
        <v>5</v>
      </c>
      <c r="G18" s="12">
        <v>5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5</v>
      </c>
      <c r="N18" s="12">
        <v>5</v>
      </c>
      <c r="O18" s="12">
        <v>5</v>
      </c>
      <c r="P18" s="12">
        <v>5</v>
      </c>
      <c r="Q18" s="12">
        <v>5</v>
      </c>
      <c r="R18" s="12">
        <v>5</v>
      </c>
      <c r="S18" s="12">
        <v>5</v>
      </c>
      <c r="T18" s="12">
        <v>5</v>
      </c>
      <c r="U18" s="12">
        <v>5</v>
      </c>
      <c r="V18" s="11">
        <f t="shared" si="0"/>
        <v>100</v>
      </c>
    </row>
    <row r="19" spans="1:22" ht="15.75" customHeight="1">
      <c r="A19" s="10">
        <v>11</v>
      </c>
      <c r="B19" s="12">
        <v>5</v>
      </c>
      <c r="C19" s="12">
        <v>5</v>
      </c>
      <c r="D19" s="12">
        <v>5</v>
      </c>
      <c r="E19" s="12">
        <v>5</v>
      </c>
      <c r="F19" s="12">
        <v>5</v>
      </c>
      <c r="G19" s="12">
        <v>5</v>
      </c>
      <c r="H19" s="12">
        <v>5</v>
      </c>
      <c r="I19" s="12">
        <v>5</v>
      </c>
      <c r="J19" s="12">
        <v>5</v>
      </c>
      <c r="K19" s="12">
        <v>5</v>
      </c>
      <c r="L19" s="12">
        <v>5</v>
      </c>
      <c r="M19" s="12">
        <v>5</v>
      </c>
      <c r="N19" s="12">
        <v>5</v>
      </c>
      <c r="O19" s="12">
        <v>5</v>
      </c>
      <c r="P19" s="12">
        <v>5</v>
      </c>
      <c r="Q19" s="12">
        <v>5</v>
      </c>
      <c r="R19" s="12">
        <v>5</v>
      </c>
      <c r="S19" s="12">
        <v>5</v>
      </c>
      <c r="T19" s="12">
        <v>5</v>
      </c>
      <c r="U19" s="12">
        <v>5</v>
      </c>
      <c r="V19" s="11">
        <f t="shared" si="0"/>
        <v>100</v>
      </c>
    </row>
    <row r="20" spans="1:22" ht="15.75" customHeight="1">
      <c r="A20" s="10">
        <v>12</v>
      </c>
      <c r="B20" s="12">
        <v>5</v>
      </c>
      <c r="C20" s="12">
        <v>5</v>
      </c>
      <c r="D20" s="12">
        <v>4</v>
      </c>
      <c r="E20" s="12">
        <v>3</v>
      </c>
      <c r="F20" s="12">
        <v>4</v>
      </c>
      <c r="G20" s="12">
        <v>4</v>
      </c>
      <c r="H20" s="12">
        <v>4</v>
      </c>
      <c r="I20" s="12">
        <v>4</v>
      </c>
      <c r="J20" s="12">
        <v>3</v>
      </c>
      <c r="K20" s="12">
        <v>4</v>
      </c>
      <c r="L20" s="12">
        <v>5</v>
      </c>
      <c r="M20" s="12">
        <v>4</v>
      </c>
      <c r="N20" s="12">
        <v>5</v>
      </c>
      <c r="O20" s="12">
        <v>4</v>
      </c>
      <c r="P20" s="12">
        <v>4</v>
      </c>
      <c r="Q20" s="12">
        <v>4</v>
      </c>
      <c r="R20" s="12">
        <v>3</v>
      </c>
      <c r="S20" s="12">
        <v>3</v>
      </c>
      <c r="T20" s="12">
        <v>5</v>
      </c>
      <c r="U20" s="12">
        <v>3</v>
      </c>
      <c r="V20" s="11">
        <f t="shared" si="0"/>
        <v>80</v>
      </c>
    </row>
    <row r="21" spans="1:22" ht="15.75" customHeight="1">
      <c r="A21" s="10">
        <v>13</v>
      </c>
      <c r="B21" s="12">
        <v>4</v>
      </c>
      <c r="C21" s="12">
        <v>4</v>
      </c>
      <c r="D21" s="12">
        <v>4</v>
      </c>
      <c r="E21" s="12">
        <v>4</v>
      </c>
      <c r="F21" s="12">
        <v>4</v>
      </c>
      <c r="G21" s="12">
        <v>4</v>
      </c>
      <c r="H21" s="12">
        <v>4</v>
      </c>
      <c r="I21" s="12">
        <v>4</v>
      </c>
      <c r="J21" s="12">
        <v>4</v>
      </c>
      <c r="K21" s="12">
        <v>4</v>
      </c>
      <c r="L21" s="12">
        <v>4</v>
      </c>
      <c r="M21" s="12">
        <v>4</v>
      </c>
      <c r="N21" s="12">
        <v>4</v>
      </c>
      <c r="O21" s="12">
        <v>4</v>
      </c>
      <c r="P21" s="12">
        <v>4</v>
      </c>
      <c r="Q21" s="12">
        <v>4</v>
      </c>
      <c r="R21" s="12">
        <v>4</v>
      </c>
      <c r="S21" s="12">
        <v>4</v>
      </c>
      <c r="T21" s="12">
        <v>4</v>
      </c>
      <c r="U21" s="12">
        <v>4</v>
      </c>
      <c r="V21" s="11">
        <f t="shared" si="0"/>
        <v>80</v>
      </c>
    </row>
    <row r="22" spans="1:22" ht="15.75" customHeight="1">
      <c r="A22" s="10">
        <v>14</v>
      </c>
      <c r="B22" s="12">
        <v>5</v>
      </c>
      <c r="C22" s="12">
        <v>5</v>
      </c>
      <c r="D22" s="12">
        <v>5</v>
      </c>
      <c r="E22" s="12">
        <v>5</v>
      </c>
      <c r="F22" s="12">
        <v>5</v>
      </c>
      <c r="G22" s="12">
        <v>5</v>
      </c>
      <c r="H22" s="12">
        <v>5</v>
      </c>
      <c r="I22" s="12">
        <v>5</v>
      </c>
      <c r="J22" s="12">
        <v>5</v>
      </c>
      <c r="K22" s="12">
        <v>5</v>
      </c>
      <c r="L22" s="12">
        <v>5</v>
      </c>
      <c r="M22" s="12">
        <v>5</v>
      </c>
      <c r="N22" s="12">
        <v>5</v>
      </c>
      <c r="O22" s="12">
        <v>5</v>
      </c>
      <c r="P22" s="12">
        <v>5</v>
      </c>
      <c r="Q22" s="12">
        <v>5</v>
      </c>
      <c r="R22" s="12">
        <v>5</v>
      </c>
      <c r="S22" s="12">
        <v>5</v>
      </c>
      <c r="T22" s="12">
        <v>5</v>
      </c>
      <c r="U22" s="12">
        <v>5</v>
      </c>
      <c r="V22" s="11">
        <f t="shared" si="0"/>
        <v>100</v>
      </c>
    </row>
    <row r="23" spans="1:22" ht="15.75" customHeight="1">
      <c r="A23" s="10">
        <v>15</v>
      </c>
      <c r="B23" s="12">
        <v>5</v>
      </c>
      <c r="C23" s="12">
        <v>5</v>
      </c>
      <c r="D23" s="12">
        <v>5</v>
      </c>
      <c r="E23" s="12">
        <v>5</v>
      </c>
      <c r="F23" s="12">
        <v>5</v>
      </c>
      <c r="G23" s="12">
        <v>5</v>
      </c>
      <c r="H23" s="12">
        <v>5</v>
      </c>
      <c r="I23" s="12">
        <v>5</v>
      </c>
      <c r="J23" s="12">
        <v>5</v>
      </c>
      <c r="K23" s="12">
        <v>5</v>
      </c>
      <c r="L23" s="12">
        <v>5</v>
      </c>
      <c r="M23" s="12">
        <v>5</v>
      </c>
      <c r="N23" s="12">
        <v>5</v>
      </c>
      <c r="O23" s="12">
        <v>5</v>
      </c>
      <c r="P23" s="12">
        <v>5</v>
      </c>
      <c r="Q23" s="12">
        <v>5</v>
      </c>
      <c r="R23" s="12">
        <v>5</v>
      </c>
      <c r="S23" s="12">
        <v>5</v>
      </c>
      <c r="T23" s="12">
        <v>5</v>
      </c>
      <c r="U23" s="12">
        <v>5</v>
      </c>
      <c r="V23" s="11">
        <f t="shared" si="0"/>
        <v>100</v>
      </c>
    </row>
    <row r="24" spans="1:22" ht="15.75" customHeight="1">
      <c r="A24" s="10">
        <v>16</v>
      </c>
      <c r="B24" s="12">
        <v>4</v>
      </c>
      <c r="C24" s="12">
        <v>4</v>
      </c>
      <c r="D24" s="12">
        <v>4</v>
      </c>
      <c r="E24" s="12">
        <v>4</v>
      </c>
      <c r="F24" s="12">
        <v>4</v>
      </c>
      <c r="G24" s="12">
        <v>4</v>
      </c>
      <c r="H24" s="12">
        <v>4</v>
      </c>
      <c r="I24" s="12">
        <v>4</v>
      </c>
      <c r="J24" s="12">
        <v>4</v>
      </c>
      <c r="K24" s="12">
        <v>4</v>
      </c>
      <c r="L24" s="12">
        <v>4</v>
      </c>
      <c r="M24" s="12">
        <v>4</v>
      </c>
      <c r="N24" s="12">
        <v>4</v>
      </c>
      <c r="O24" s="12">
        <v>4</v>
      </c>
      <c r="P24" s="12">
        <v>4</v>
      </c>
      <c r="Q24" s="12">
        <v>4</v>
      </c>
      <c r="R24" s="12">
        <v>4</v>
      </c>
      <c r="S24" s="12">
        <v>4</v>
      </c>
      <c r="T24" s="12">
        <v>4</v>
      </c>
      <c r="U24" s="12">
        <v>4</v>
      </c>
      <c r="V24" s="11">
        <f t="shared" si="0"/>
        <v>80</v>
      </c>
    </row>
    <row r="25" spans="1:22" ht="15.75" customHeight="1">
      <c r="A25" s="10">
        <v>17</v>
      </c>
      <c r="B25" s="12">
        <v>4</v>
      </c>
      <c r="C25" s="12">
        <v>5</v>
      </c>
      <c r="D25" s="12">
        <v>5</v>
      </c>
      <c r="E25" s="12">
        <v>5</v>
      </c>
      <c r="F25" s="12">
        <v>5</v>
      </c>
      <c r="G25" s="12">
        <v>4</v>
      </c>
      <c r="H25" s="12">
        <v>4</v>
      </c>
      <c r="I25" s="12">
        <v>4</v>
      </c>
      <c r="J25" s="12">
        <v>4</v>
      </c>
      <c r="K25" s="12">
        <v>4</v>
      </c>
      <c r="L25" s="12">
        <v>5</v>
      </c>
      <c r="M25" s="12">
        <v>5</v>
      </c>
      <c r="N25" s="12">
        <v>5</v>
      </c>
      <c r="O25" s="12">
        <v>5</v>
      </c>
      <c r="P25" s="12">
        <v>4</v>
      </c>
      <c r="Q25" s="12">
        <v>5</v>
      </c>
      <c r="R25" s="12">
        <v>5</v>
      </c>
      <c r="S25" s="12">
        <v>5</v>
      </c>
      <c r="T25" s="12">
        <v>4</v>
      </c>
      <c r="U25" s="12">
        <v>5</v>
      </c>
      <c r="V25" s="11">
        <f t="shared" si="0"/>
        <v>92</v>
      </c>
    </row>
    <row r="26" spans="1:22" ht="15.75" customHeight="1">
      <c r="A26" s="10">
        <v>18</v>
      </c>
      <c r="B26" s="12">
        <v>4</v>
      </c>
      <c r="C26" s="12">
        <v>4</v>
      </c>
      <c r="D26" s="12">
        <v>4</v>
      </c>
      <c r="E26" s="12">
        <v>4</v>
      </c>
      <c r="F26" s="12">
        <v>4</v>
      </c>
      <c r="G26" s="12">
        <v>4</v>
      </c>
      <c r="H26" s="12">
        <v>4</v>
      </c>
      <c r="I26" s="12">
        <v>4</v>
      </c>
      <c r="J26" s="12">
        <v>4</v>
      </c>
      <c r="K26" s="12">
        <v>4</v>
      </c>
      <c r="L26" s="12">
        <v>4</v>
      </c>
      <c r="M26" s="12">
        <v>5</v>
      </c>
      <c r="N26" s="12">
        <v>5</v>
      </c>
      <c r="O26" s="12">
        <v>5</v>
      </c>
      <c r="P26" s="12">
        <v>5</v>
      </c>
      <c r="Q26" s="12">
        <v>5</v>
      </c>
      <c r="R26" s="12">
        <v>5</v>
      </c>
      <c r="S26" s="12">
        <v>5</v>
      </c>
      <c r="T26" s="12">
        <v>5</v>
      </c>
      <c r="U26" s="12">
        <v>5</v>
      </c>
      <c r="V26" s="11">
        <f t="shared" si="0"/>
        <v>89</v>
      </c>
    </row>
    <row r="27" spans="1:22" ht="15.75" customHeight="1">
      <c r="A27" s="10">
        <v>19</v>
      </c>
      <c r="B27" s="12">
        <v>4</v>
      </c>
      <c r="C27" s="12">
        <v>4</v>
      </c>
      <c r="D27" s="12">
        <v>4</v>
      </c>
      <c r="E27" s="12">
        <v>4</v>
      </c>
      <c r="F27" s="12">
        <v>4</v>
      </c>
      <c r="G27" s="12">
        <v>4</v>
      </c>
      <c r="H27" s="12">
        <v>4</v>
      </c>
      <c r="I27" s="12">
        <v>4</v>
      </c>
      <c r="J27" s="12">
        <v>4</v>
      </c>
      <c r="K27" s="12">
        <v>4</v>
      </c>
      <c r="L27" s="12">
        <v>4</v>
      </c>
      <c r="M27" s="12">
        <v>4</v>
      </c>
      <c r="N27" s="12">
        <v>4</v>
      </c>
      <c r="O27" s="12">
        <v>4</v>
      </c>
      <c r="P27" s="12">
        <v>4</v>
      </c>
      <c r="Q27" s="12">
        <v>4</v>
      </c>
      <c r="R27" s="12">
        <v>4</v>
      </c>
      <c r="S27" s="12">
        <v>4</v>
      </c>
      <c r="T27" s="12">
        <v>4</v>
      </c>
      <c r="U27" s="12">
        <v>4</v>
      </c>
      <c r="V27" s="11">
        <f t="shared" si="0"/>
        <v>80</v>
      </c>
    </row>
    <row r="28" spans="1:22" ht="15.75" customHeight="1">
      <c r="A28" s="10">
        <v>20</v>
      </c>
      <c r="B28" s="12">
        <v>3</v>
      </c>
      <c r="C28" s="12">
        <v>3</v>
      </c>
      <c r="D28" s="12">
        <v>4</v>
      </c>
      <c r="E28" s="12">
        <v>3</v>
      </c>
      <c r="F28" s="12">
        <v>4</v>
      </c>
      <c r="G28" s="12">
        <v>4</v>
      </c>
      <c r="H28" s="12">
        <v>4</v>
      </c>
      <c r="I28" s="12">
        <v>3</v>
      </c>
      <c r="J28" s="12">
        <v>4</v>
      </c>
      <c r="K28" s="12">
        <v>3</v>
      </c>
      <c r="L28" s="12">
        <v>2</v>
      </c>
      <c r="M28" s="12">
        <v>3</v>
      </c>
      <c r="N28" s="12">
        <v>4</v>
      </c>
      <c r="O28" s="12">
        <v>3</v>
      </c>
      <c r="P28" s="12">
        <v>3</v>
      </c>
      <c r="Q28" s="12">
        <v>3</v>
      </c>
      <c r="R28" s="12">
        <v>3</v>
      </c>
      <c r="S28" s="12">
        <v>3</v>
      </c>
      <c r="T28" s="12">
        <v>3</v>
      </c>
      <c r="U28" s="12">
        <v>3</v>
      </c>
      <c r="V28" s="11">
        <f t="shared" si="0"/>
        <v>65</v>
      </c>
    </row>
    <row r="29" spans="1:22" ht="15.75" customHeight="1">
      <c r="A29" s="10">
        <v>21</v>
      </c>
      <c r="B29" s="12">
        <v>4</v>
      </c>
      <c r="C29" s="12">
        <v>4</v>
      </c>
      <c r="D29" s="12">
        <v>4</v>
      </c>
      <c r="E29" s="12">
        <v>4</v>
      </c>
      <c r="F29" s="12">
        <v>4</v>
      </c>
      <c r="G29" s="12">
        <v>4</v>
      </c>
      <c r="H29" s="12">
        <v>4</v>
      </c>
      <c r="I29" s="12">
        <v>4</v>
      </c>
      <c r="J29" s="12">
        <v>4</v>
      </c>
      <c r="K29" s="12">
        <v>4</v>
      </c>
      <c r="L29" s="12">
        <v>4</v>
      </c>
      <c r="M29" s="12">
        <v>5</v>
      </c>
      <c r="N29" s="12">
        <v>5</v>
      </c>
      <c r="O29" s="12">
        <v>5</v>
      </c>
      <c r="P29" s="12">
        <v>5</v>
      </c>
      <c r="Q29" s="12">
        <v>5</v>
      </c>
      <c r="R29" s="12">
        <v>5</v>
      </c>
      <c r="S29" s="12">
        <v>5</v>
      </c>
      <c r="T29" s="12">
        <v>5</v>
      </c>
      <c r="U29" s="12">
        <v>5</v>
      </c>
      <c r="V29" s="11">
        <f t="shared" si="0"/>
        <v>89</v>
      </c>
    </row>
    <row r="30" spans="1:22" ht="15.75" customHeight="1">
      <c r="A30" s="10">
        <v>22</v>
      </c>
      <c r="B30" s="12">
        <v>4</v>
      </c>
      <c r="C30" s="12">
        <v>4</v>
      </c>
      <c r="D30" s="12">
        <v>4</v>
      </c>
      <c r="E30" s="12">
        <v>4</v>
      </c>
      <c r="F30" s="12">
        <v>4</v>
      </c>
      <c r="G30" s="12">
        <v>4</v>
      </c>
      <c r="H30" s="12">
        <v>4</v>
      </c>
      <c r="I30" s="12">
        <v>4</v>
      </c>
      <c r="J30" s="12">
        <v>4</v>
      </c>
      <c r="K30" s="12">
        <v>4</v>
      </c>
      <c r="L30" s="12">
        <v>4</v>
      </c>
      <c r="M30" s="12">
        <v>5</v>
      </c>
      <c r="N30" s="12">
        <v>5</v>
      </c>
      <c r="O30" s="12">
        <v>5</v>
      </c>
      <c r="P30" s="12">
        <v>5</v>
      </c>
      <c r="Q30" s="12">
        <v>5</v>
      </c>
      <c r="R30" s="12">
        <v>5</v>
      </c>
      <c r="S30" s="12">
        <v>5</v>
      </c>
      <c r="T30" s="12">
        <v>5</v>
      </c>
      <c r="U30" s="12">
        <v>5</v>
      </c>
      <c r="V30" s="11">
        <f t="shared" si="0"/>
        <v>89</v>
      </c>
    </row>
    <row r="31" spans="1:22" ht="15.75" customHeight="1">
      <c r="A31" s="10">
        <v>23</v>
      </c>
      <c r="B31" s="12">
        <v>4</v>
      </c>
      <c r="C31" s="12">
        <v>4</v>
      </c>
      <c r="D31" s="12">
        <v>4</v>
      </c>
      <c r="E31" s="12">
        <v>4</v>
      </c>
      <c r="F31" s="12">
        <v>4</v>
      </c>
      <c r="G31" s="12">
        <v>4</v>
      </c>
      <c r="H31" s="12">
        <v>4</v>
      </c>
      <c r="I31" s="12">
        <v>4</v>
      </c>
      <c r="J31" s="12">
        <v>3</v>
      </c>
      <c r="K31" s="12">
        <v>4</v>
      </c>
      <c r="L31" s="12">
        <v>4</v>
      </c>
      <c r="M31" s="12">
        <v>4</v>
      </c>
      <c r="N31" s="12">
        <v>4</v>
      </c>
      <c r="O31" s="12">
        <v>5</v>
      </c>
      <c r="P31" s="12">
        <v>3</v>
      </c>
      <c r="Q31" s="12">
        <v>4</v>
      </c>
      <c r="R31" s="12">
        <v>4</v>
      </c>
      <c r="S31" s="12">
        <v>5</v>
      </c>
      <c r="T31" s="12">
        <v>5</v>
      </c>
      <c r="U31" s="12">
        <v>3</v>
      </c>
      <c r="V31" s="11">
        <f t="shared" si="0"/>
        <v>80</v>
      </c>
    </row>
    <row r="32" spans="1:22" ht="15.75" customHeight="1">
      <c r="A32" s="10">
        <v>24</v>
      </c>
      <c r="B32" s="12">
        <v>4</v>
      </c>
      <c r="C32" s="12">
        <v>4</v>
      </c>
      <c r="D32" s="12">
        <v>4</v>
      </c>
      <c r="E32" s="12">
        <v>4</v>
      </c>
      <c r="F32" s="12">
        <v>4</v>
      </c>
      <c r="G32" s="12">
        <v>4</v>
      </c>
      <c r="H32" s="12">
        <v>4</v>
      </c>
      <c r="I32" s="12">
        <v>4</v>
      </c>
      <c r="J32" s="12">
        <v>4</v>
      </c>
      <c r="K32" s="12">
        <v>4</v>
      </c>
      <c r="L32" s="12">
        <v>4</v>
      </c>
      <c r="M32" s="12">
        <v>5</v>
      </c>
      <c r="N32" s="12">
        <v>5</v>
      </c>
      <c r="O32" s="12">
        <v>5</v>
      </c>
      <c r="P32" s="12">
        <v>4</v>
      </c>
      <c r="Q32" s="12">
        <v>5</v>
      </c>
      <c r="R32" s="12">
        <v>5</v>
      </c>
      <c r="S32" s="12">
        <v>5</v>
      </c>
      <c r="T32" s="12">
        <v>4</v>
      </c>
      <c r="U32" s="12">
        <v>5</v>
      </c>
      <c r="V32" s="11">
        <f t="shared" si="0"/>
        <v>87</v>
      </c>
    </row>
    <row r="33" spans="1:22" ht="15.75" customHeight="1">
      <c r="A33" s="10">
        <v>25</v>
      </c>
      <c r="B33" s="12">
        <v>4</v>
      </c>
      <c r="C33" s="12">
        <v>4</v>
      </c>
      <c r="D33" s="12">
        <v>4</v>
      </c>
      <c r="E33" s="12">
        <v>4</v>
      </c>
      <c r="F33" s="12">
        <v>4</v>
      </c>
      <c r="G33" s="12">
        <v>4</v>
      </c>
      <c r="H33" s="12">
        <v>4</v>
      </c>
      <c r="I33" s="12">
        <v>4</v>
      </c>
      <c r="J33" s="12">
        <v>4</v>
      </c>
      <c r="K33" s="12">
        <v>4</v>
      </c>
      <c r="L33" s="12">
        <v>4</v>
      </c>
      <c r="M33" s="12">
        <v>4</v>
      </c>
      <c r="N33" s="12">
        <v>5</v>
      </c>
      <c r="O33" s="12">
        <v>5</v>
      </c>
      <c r="P33" s="12">
        <v>5</v>
      </c>
      <c r="Q33" s="12">
        <v>5</v>
      </c>
      <c r="R33" s="12">
        <v>5</v>
      </c>
      <c r="S33" s="12">
        <v>5</v>
      </c>
      <c r="T33" s="12">
        <v>4</v>
      </c>
      <c r="U33" s="12">
        <v>5</v>
      </c>
      <c r="V33" s="11">
        <f t="shared" si="0"/>
        <v>87</v>
      </c>
    </row>
    <row r="34" spans="1:22" ht="15.75" customHeight="1">
      <c r="A34" s="10">
        <v>26</v>
      </c>
      <c r="B34" s="12">
        <v>4</v>
      </c>
      <c r="C34" s="12">
        <v>4</v>
      </c>
      <c r="D34" s="12">
        <v>4</v>
      </c>
      <c r="E34" s="12">
        <v>4</v>
      </c>
      <c r="F34" s="12">
        <v>4</v>
      </c>
      <c r="G34" s="12">
        <v>4</v>
      </c>
      <c r="H34" s="12">
        <v>4</v>
      </c>
      <c r="I34" s="12">
        <v>4</v>
      </c>
      <c r="J34" s="12">
        <v>4</v>
      </c>
      <c r="K34" s="12">
        <v>4</v>
      </c>
      <c r="L34" s="12">
        <v>4</v>
      </c>
      <c r="M34" s="12">
        <v>5</v>
      </c>
      <c r="N34" s="12">
        <v>5</v>
      </c>
      <c r="O34" s="12">
        <v>5</v>
      </c>
      <c r="P34" s="12">
        <v>5</v>
      </c>
      <c r="Q34" s="12">
        <v>5</v>
      </c>
      <c r="R34" s="12">
        <v>5</v>
      </c>
      <c r="S34" s="12">
        <v>5</v>
      </c>
      <c r="T34" s="12">
        <v>5</v>
      </c>
      <c r="U34" s="12">
        <v>5</v>
      </c>
      <c r="V34" s="11">
        <f t="shared" si="0"/>
        <v>89</v>
      </c>
    </row>
    <row r="35" spans="1:22" ht="15.75" customHeight="1">
      <c r="A35" s="10">
        <v>27</v>
      </c>
      <c r="B35" s="12">
        <v>4</v>
      </c>
      <c r="C35" s="12">
        <v>4</v>
      </c>
      <c r="D35" s="12">
        <v>4</v>
      </c>
      <c r="E35" s="12">
        <v>4</v>
      </c>
      <c r="F35" s="12">
        <v>4</v>
      </c>
      <c r="G35" s="12">
        <v>4</v>
      </c>
      <c r="H35" s="12">
        <v>4</v>
      </c>
      <c r="I35" s="12">
        <v>4</v>
      </c>
      <c r="J35" s="12">
        <v>4</v>
      </c>
      <c r="K35" s="12">
        <v>4</v>
      </c>
      <c r="L35" s="12">
        <v>4</v>
      </c>
      <c r="M35" s="12">
        <v>5</v>
      </c>
      <c r="N35" s="12">
        <v>5</v>
      </c>
      <c r="O35" s="12">
        <v>5</v>
      </c>
      <c r="P35" s="12">
        <v>5</v>
      </c>
      <c r="Q35" s="12">
        <v>5</v>
      </c>
      <c r="R35" s="12">
        <v>5</v>
      </c>
      <c r="S35" s="12">
        <v>5</v>
      </c>
      <c r="T35" s="12">
        <v>4</v>
      </c>
      <c r="U35" s="12">
        <v>5</v>
      </c>
      <c r="V35" s="11">
        <f t="shared" si="0"/>
        <v>88</v>
      </c>
    </row>
    <row r="36" spans="1:22" ht="15.75" customHeight="1">
      <c r="A36" s="10">
        <v>28</v>
      </c>
      <c r="B36" s="12">
        <v>4</v>
      </c>
      <c r="C36" s="12">
        <v>4</v>
      </c>
      <c r="D36" s="12">
        <v>4</v>
      </c>
      <c r="E36" s="12">
        <v>4</v>
      </c>
      <c r="F36" s="12">
        <v>4</v>
      </c>
      <c r="G36" s="12">
        <v>4</v>
      </c>
      <c r="H36" s="12">
        <v>4</v>
      </c>
      <c r="I36" s="12">
        <v>4</v>
      </c>
      <c r="J36" s="12">
        <v>4</v>
      </c>
      <c r="K36" s="12">
        <v>4</v>
      </c>
      <c r="L36" s="12">
        <v>4</v>
      </c>
      <c r="M36" s="12">
        <v>5</v>
      </c>
      <c r="N36" s="12">
        <v>5</v>
      </c>
      <c r="O36" s="12">
        <v>5</v>
      </c>
      <c r="P36" s="12">
        <v>5</v>
      </c>
      <c r="Q36" s="12">
        <v>5</v>
      </c>
      <c r="R36" s="12">
        <v>5</v>
      </c>
      <c r="S36" s="12">
        <v>5</v>
      </c>
      <c r="T36" s="12">
        <v>5</v>
      </c>
      <c r="U36" s="12">
        <v>5</v>
      </c>
      <c r="V36" s="11">
        <f t="shared" si="0"/>
        <v>89</v>
      </c>
    </row>
    <row r="37" spans="1:22" ht="15.75" customHeight="1">
      <c r="A37" s="10">
        <v>29</v>
      </c>
      <c r="B37" s="12">
        <v>4</v>
      </c>
      <c r="C37" s="12">
        <v>4</v>
      </c>
      <c r="D37" s="12">
        <v>4</v>
      </c>
      <c r="E37" s="12">
        <v>4</v>
      </c>
      <c r="F37" s="12">
        <v>4</v>
      </c>
      <c r="G37" s="12">
        <v>4</v>
      </c>
      <c r="H37" s="12">
        <v>4</v>
      </c>
      <c r="I37" s="12">
        <v>4</v>
      </c>
      <c r="J37" s="12">
        <v>4</v>
      </c>
      <c r="K37" s="12">
        <v>4</v>
      </c>
      <c r="L37" s="12">
        <v>4</v>
      </c>
      <c r="M37" s="12">
        <v>5</v>
      </c>
      <c r="N37" s="12">
        <v>5</v>
      </c>
      <c r="O37" s="12">
        <v>5</v>
      </c>
      <c r="P37" s="12">
        <v>5</v>
      </c>
      <c r="Q37" s="12">
        <v>5</v>
      </c>
      <c r="R37" s="12">
        <v>5</v>
      </c>
      <c r="S37" s="12">
        <v>5</v>
      </c>
      <c r="T37" s="12">
        <v>5</v>
      </c>
      <c r="U37" s="12">
        <v>5</v>
      </c>
      <c r="V37" s="11">
        <f t="shared" si="0"/>
        <v>89</v>
      </c>
    </row>
    <row r="38" spans="1:22" ht="15.75" customHeight="1">
      <c r="A38" s="10">
        <v>30</v>
      </c>
      <c r="B38" s="12">
        <v>4</v>
      </c>
      <c r="C38" s="12">
        <v>4</v>
      </c>
      <c r="D38" s="12">
        <v>4</v>
      </c>
      <c r="E38" s="12">
        <v>4</v>
      </c>
      <c r="F38" s="12">
        <v>4</v>
      </c>
      <c r="G38" s="12">
        <v>4</v>
      </c>
      <c r="H38" s="12">
        <v>4</v>
      </c>
      <c r="I38" s="12">
        <v>4</v>
      </c>
      <c r="J38" s="12">
        <v>4</v>
      </c>
      <c r="K38" s="12">
        <v>4</v>
      </c>
      <c r="L38" s="12">
        <v>4</v>
      </c>
      <c r="M38" s="12">
        <v>5</v>
      </c>
      <c r="N38" s="12">
        <v>5</v>
      </c>
      <c r="O38" s="12">
        <v>5</v>
      </c>
      <c r="P38" s="12">
        <v>5</v>
      </c>
      <c r="Q38" s="12">
        <v>5</v>
      </c>
      <c r="R38" s="12">
        <v>5</v>
      </c>
      <c r="S38" s="12">
        <v>5</v>
      </c>
      <c r="T38" s="12">
        <v>5</v>
      </c>
      <c r="U38" s="12">
        <v>5</v>
      </c>
      <c r="V38" s="11">
        <f t="shared" si="0"/>
        <v>89</v>
      </c>
    </row>
    <row r="39" spans="1:22" ht="15.75" customHeight="1">
      <c r="A39" s="10">
        <v>31</v>
      </c>
      <c r="B39" s="12">
        <v>4</v>
      </c>
      <c r="C39" s="12">
        <v>4</v>
      </c>
      <c r="D39" s="12">
        <v>4</v>
      </c>
      <c r="E39" s="12">
        <v>4</v>
      </c>
      <c r="F39" s="12">
        <v>4</v>
      </c>
      <c r="G39" s="12">
        <v>4</v>
      </c>
      <c r="H39" s="12">
        <v>4</v>
      </c>
      <c r="I39" s="12">
        <v>4</v>
      </c>
      <c r="J39" s="12">
        <v>4</v>
      </c>
      <c r="K39" s="12">
        <v>4</v>
      </c>
      <c r="L39" s="12">
        <v>4</v>
      </c>
      <c r="M39" s="12">
        <v>5</v>
      </c>
      <c r="N39" s="12">
        <v>5</v>
      </c>
      <c r="O39" s="12">
        <v>5</v>
      </c>
      <c r="P39" s="12">
        <v>5</v>
      </c>
      <c r="Q39" s="12">
        <v>5</v>
      </c>
      <c r="R39" s="12">
        <v>5</v>
      </c>
      <c r="S39" s="12">
        <v>5</v>
      </c>
      <c r="T39" s="12">
        <v>5</v>
      </c>
      <c r="U39" s="12">
        <v>5</v>
      </c>
      <c r="V39" s="11">
        <f t="shared" si="0"/>
        <v>89</v>
      </c>
    </row>
    <row r="40" spans="1:22" ht="15.75" customHeight="1">
      <c r="A40" s="10">
        <v>32</v>
      </c>
      <c r="B40" s="12">
        <v>4</v>
      </c>
      <c r="C40" s="12">
        <v>4</v>
      </c>
      <c r="D40" s="12">
        <v>4</v>
      </c>
      <c r="E40" s="12">
        <v>4</v>
      </c>
      <c r="F40" s="12">
        <v>4</v>
      </c>
      <c r="G40" s="12">
        <v>4</v>
      </c>
      <c r="H40" s="12">
        <v>4</v>
      </c>
      <c r="I40" s="12">
        <v>4</v>
      </c>
      <c r="J40" s="12">
        <v>4</v>
      </c>
      <c r="K40" s="12">
        <v>4</v>
      </c>
      <c r="L40" s="12">
        <v>4</v>
      </c>
      <c r="M40" s="12">
        <v>5</v>
      </c>
      <c r="N40" s="12">
        <v>5</v>
      </c>
      <c r="O40" s="12">
        <v>5</v>
      </c>
      <c r="P40" s="12">
        <v>5</v>
      </c>
      <c r="Q40" s="12">
        <v>5</v>
      </c>
      <c r="R40" s="12">
        <v>5</v>
      </c>
      <c r="S40" s="12">
        <v>5</v>
      </c>
      <c r="T40" s="12">
        <v>5</v>
      </c>
      <c r="U40" s="12">
        <v>5</v>
      </c>
      <c r="V40" s="11">
        <f t="shared" si="0"/>
        <v>89</v>
      </c>
    </row>
    <row r="41" spans="1:22" ht="15.75" customHeight="1">
      <c r="A41" s="10">
        <v>33</v>
      </c>
      <c r="B41" s="12">
        <v>4</v>
      </c>
      <c r="C41" s="12">
        <v>4</v>
      </c>
      <c r="D41" s="12">
        <v>4</v>
      </c>
      <c r="E41" s="12">
        <v>4</v>
      </c>
      <c r="F41" s="12">
        <v>4</v>
      </c>
      <c r="G41" s="12">
        <v>4</v>
      </c>
      <c r="H41" s="12">
        <v>4</v>
      </c>
      <c r="I41" s="12">
        <v>4</v>
      </c>
      <c r="J41" s="12">
        <v>4</v>
      </c>
      <c r="K41" s="12">
        <v>4</v>
      </c>
      <c r="L41" s="12">
        <v>4</v>
      </c>
      <c r="M41" s="12">
        <v>4</v>
      </c>
      <c r="N41" s="12">
        <v>4</v>
      </c>
      <c r="O41" s="12">
        <v>4</v>
      </c>
      <c r="P41" s="12">
        <v>4</v>
      </c>
      <c r="Q41" s="12">
        <v>4</v>
      </c>
      <c r="R41" s="12">
        <v>4</v>
      </c>
      <c r="S41" s="12">
        <v>4</v>
      </c>
      <c r="T41" s="12">
        <v>4</v>
      </c>
      <c r="U41" s="12">
        <v>4</v>
      </c>
      <c r="V41" s="11">
        <f t="shared" si="0"/>
        <v>80</v>
      </c>
    </row>
    <row r="42" spans="1:22" ht="15.75" customHeight="1">
      <c r="A42" s="10">
        <v>34</v>
      </c>
      <c r="B42" s="12">
        <v>4</v>
      </c>
      <c r="C42" s="12">
        <v>4</v>
      </c>
      <c r="D42" s="12">
        <v>4</v>
      </c>
      <c r="E42" s="12">
        <v>4</v>
      </c>
      <c r="F42" s="12">
        <v>4</v>
      </c>
      <c r="G42" s="12">
        <v>4</v>
      </c>
      <c r="H42" s="12">
        <v>4</v>
      </c>
      <c r="I42" s="12">
        <v>4</v>
      </c>
      <c r="J42" s="12">
        <v>4</v>
      </c>
      <c r="K42" s="12">
        <v>4</v>
      </c>
      <c r="L42" s="12">
        <v>4</v>
      </c>
      <c r="M42" s="12">
        <v>5</v>
      </c>
      <c r="N42" s="12">
        <v>5</v>
      </c>
      <c r="O42" s="12">
        <v>2</v>
      </c>
      <c r="P42" s="12">
        <v>2</v>
      </c>
      <c r="Q42" s="12">
        <v>2</v>
      </c>
      <c r="R42" s="12">
        <v>2</v>
      </c>
      <c r="S42" s="12">
        <v>2</v>
      </c>
      <c r="T42" s="12">
        <v>5</v>
      </c>
      <c r="U42" s="12">
        <v>4</v>
      </c>
      <c r="V42" s="11">
        <f t="shared" si="0"/>
        <v>73</v>
      </c>
    </row>
    <row r="43" spans="1:22" ht="15.75" customHeight="1">
      <c r="A43" s="10">
        <v>35</v>
      </c>
      <c r="B43" s="12">
        <v>5</v>
      </c>
      <c r="C43" s="12">
        <v>4</v>
      </c>
      <c r="D43" s="12">
        <v>4</v>
      </c>
      <c r="E43" s="12">
        <v>4</v>
      </c>
      <c r="F43" s="12">
        <v>5</v>
      </c>
      <c r="G43" s="12">
        <v>5</v>
      </c>
      <c r="H43" s="12">
        <v>4</v>
      </c>
      <c r="I43" s="12">
        <v>5</v>
      </c>
      <c r="J43" s="12">
        <v>4</v>
      </c>
      <c r="K43" s="12">
        <v>5</v>
      </c>
      <c r="L43" s="12">
        <v>4</v>
      </c>
      <c r="M43" s="12">
        <v>4</v>
      </c>
      <c r="N43" s="12">
        <v>5</v>
      </c>
      <c r="O43" s="12">
        <v>3</v>
      </c>
      <c r="P43" s="12">
        <v>4</v>
      </c>
      <c r="Q43" s="12">
        <v>4</v>
      </c>
      <c r="R43" s="12">
        <v>4</v>
      </c>
      <c r="S43" s="12">
        <v>4</v>
      </c>
      <c r="T43" s="12">
        <v>4</v>
      </c>
      <c r="U43" s="12">
        <v>4</v>
      </c>
      <c r="V43" s="11">
        <f t="shared" si="0"/>
        <v>85</v>
      </c>
    </row>
    <row r="44" spans="1:22" ht="15.75" customHeight="1">
      <c r="A44" s="10">
        <v>36</v>
      </c>
      <c r="B44" s="12">
        <v>4</v>
      </c>
      <c r="C44" s="12">
        <v>5</v>
      </c>
      <c r="D44" s="12">
        <v>4</v>
      </c>
      <c r="E44" s="12">
        <v>3</v>
      </c>
      <c r="F44" s="12">
        <v>2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3</v>
      </c>
      <c r="M44" s="12">
        <v>2</v>
      </c>
      <c r="N44" s="12">
        <v>2</v>
      </c>
      <c r="O44" s="12">
        <v>2</v>
      </c>
      <c r="P44" s="12">
        <v>2</v>
      </c>
      <c r="Q44" s="12">
        <v>2</v>
      </c>
      <c r="R44" s="12">
        <v>2</v>
      </c>
      <c r="S44" s="12">
        <v>5</v>
      </c>
      <c r="T44" s="12">
        <v>4</v>
      </c>
      <c r="U44" s="12">
        <v>4</v>
      </c>
      <c r="V44" s="11">
        <f t="shared" si="0"/>
        <v>51</v>
      </c>
    </row>
    <row r="45" spans="1:22" ht="15.75" customHeight="1">
      <c r="A45" s="10">
        <v>37</v>
      </c>
      <c r="B45" s="12">
        <v>2</v>
      </c>
      <c r="C45" s="12">
        <v>2</v>
      </c>
      <c r="D45" s="12">
        <v>2</v>
      </c>
      <c r="E45" s="12">
        <v>2</v>
      </c>
      <c r="F45" s="12">
        <v>3</v>
      </c>
      <c r="G45" s="12">
        <v>4</v>
      </c>
      <c r="H45" s="12">
        <v>4</v>
      </c>
      <c r="I45" s="12">
        <v>1</v>
      </c>
      <c r="J45" s="12">
        <v>1</v>
      </c>
      <c r="K45" s="12">
        <v>1</v>
      </c>
      <c r="L45" s="12">
        <v>1</v>
      </c>
      <c r="M45" s="12">
        <v>1</v>
      </c>
      <c r="N45" s="12">
        <v>1</v>
      </c>
      <c r="O45" s="12">
        <v>1</v>
      </c>
      <c r="P45" s="12">
        <v>1</v>
      </c>
      <c r="Q45" s="12">
        <v>2</v>
      </c>
      <c r="R45" s="12">
        <v>3</v>
      </c>
      <c r="S45" s="12">
        <v>4</v>
      </c>
      <c r="T45" s="12">
        <v>5</v>
      </c>
      <c r="U45" s="12">
        <v>5</v>
      </c>
      <c r="V45" s="11">
        <f t="shared" si="0"/>
        <v>46</v>
      </c>
    </row>
    <row r="46" spans="1:22" ht="15.75" customHeight="1">
      <c r="A46" s="10">
        <v>38</v>
      </c>
      <c r="B46" s="12">
        <v>2</v>
      </c>
      <c r="C46" s="12">
        <v>3</v>
      </c>
      <c r="D46" s="12">
        <v>4</v>
      </c>
      <c r="E46" s="12">
        <v>1</v>
      </c>
      <c r="F46" s="12">
        <v>4</v>
      </c>
      <c r="G46" s="12">
        <v>5</v>
      </c>
      <c r="H46" s="12">
        <v>5</v>
      </c>
      <c r="I46" s="12">
        <v>4</v>
      </c>
      <c r="J46" s="12">
        <v>3</v>
      </c>
      <c r="K46" s="12">
        <v>3</v>
      </c>
      <c r="L46" s="12">
        <v>4</v>
      </c>
      <c r="M46" s="12">
        <v>4</v>
      </c>
      <c r="N46" s="12">
        <v>3</v>
      </c>
      <c r="O46" s="12">
        <v>4</v>
      </c>
      <c r="P46" s="12">
        <v>3</v>
      </c>
      <c r="Q46" s="12">
        <v>5</v>
      </c>
      <c r="R46" s="12">
        <v>4</v>
      </c>
      <c r="S46" s="12">
        <v>5</v>
      </c>
      <c r="T46" s="12">
        <v>3</v>
      </c>
      <c r="U46" s="12">
        <v>3</v>
      </c>
      <c r="V46" s="11">
        <f t="shared" si="0"/>
        <v>72</v>
      </c>
    </row>
    <row r="47" spans="1:22" ht="15.75" customHeight="1">
      <c r="A47" s="10">
        <v>39</v>
      </c>
      <c r="B47" s="12">
        <v>5</v>
      </c>
      <c r="C47" s="12">
        <v>5</v>
      </c>
      <c r="D47" s="12">
        <v>5</v>
      </c>
      <c r="E47" s="12">
        <v>1</v>
      </c>
      <c r="F47" s="12">
        <v>1</v>
      </c>
      <c r="G47" s="12">
        <v>1</v>
      </c>
      <c r="H47" s="12">
        <v>5</v>
      </c>
      <c r="I47" s="12">
        <v>1</v>
      </c>
      <c r="J47" s="12">
        <v>2</v>
      </c>
      <c r="K47" s="12">
        <v>3</v>
      </c>
      <c r="L47" s="12">
        <v>5</v>
      </c>
      <c r="M47" s="12">
        <v>1</v>
      </c>
      <c r="N47" s="12">
        <v>5</v>
      </c>
      <c r="O47" s="12">
        <v>2</v>
      </c>
      <c r="P47" s="12">
        <v>3</v>
      </c>
      <c r="Q47" s="12">
        <v>3</v>
      </c>
      <c r="R47" s="12">
        <v>5</v>
      </c>
      <c r="S47" s="12">
        <v>5</v>
      </c>
      <c r="T47" s="12">
        <v>5</v>
      </c>
      <c r="U47" s="12">
        <v>5</v>
      </c>
      <c r="V47" s="11">
        <f t="shared" si="0"/>
        <v>68</v>
      </c>
    </row>
    <row r="48" spans="1:22" ht="15.75" customHeight="1">
      <c r="A48" s="10">
        <v>40</v>
      </c>
      <c r="B48" s="12">
        <v>4</v>
      </c>
      <c r="C48" s="12">
        <v>5</v>
      </c>
      <c r="D48" s="12">
        <v>4</v>
      </c>
      <c r="E48" s="12">
        <v>4</v>
      </c>
      <c r="F48" s="12">
        <v>4</v>
      </c>
      <c r="G48" s="12">
        <v>4</v>
      </c>
      <c r="H48" s="12">
        <v>5</v>
      </c>
      <c r="I48" s="12">
        <v>4</v>
      </c>
      <c r="J48" s="12">
        <v>5</v>
      </c>
      <c r="K48" s="12">
        <v>4</v>
      </c>
      <c r="L48" s="12">
        <v>5</v>
      </c>
      <c r="M48" s="12">
        <v>4</v>
      </c>
      <c r="N48" s="12">
        <v>4</v>
      </c>
      <c r="O48" s="12">
        <v>4</v>
      </c>
      <c r="P48" s="12">
        <v>4</v>
      </c>
      <c r="Q48" s="12">
        <v>5</v>
      </c>
      <c r="R48" s="12">
        <v>5</v>
      </c>
      <c r="S48" s="12">
        <v>5</v>
      </c>
      <c r="T48" s="12">
        <v>5</v>
      </c>
      <c r="U48" s="12">
        <v>5</v>
      </c>
      <c r="V48" s="11">
        <f t="shared" si="0"/>
        <v>89</v>
      </c>
    </row>
    <row r="49" spans="1:22" ht="15.75" customHeight="1">
      <c r="A49" s="10">
        <v>41</v>
      </c>
      <c r="B49" s="12">
        <v>5</v>
      </c>
      <c r="C49" s="12">
        <v>5</v>
      </c>
      <c r="D49" s="12">
        <v>4</v>
      </c>
      <c r="E49" s="12">
        <v>5</v>
      </c>
      <c r="F49" s="12">
        <v>5</v>
      </c>
      <c r="G49" s="12">
        <v>5</v>
      </c>
      <c r="H49" s="12">
        <v>4</v>
      </c>
      <c r="I49" s="12">
        <v>4</v>
      </c>
      <c r="J49" s="12">
        <v>5</v>
      </c>
      <c r="K49" s="12">
        <v>4</v>
      </c>
      <c r="L49" s="12">
        <v>4</v>
      </c>
      <c r="M49" s="12">
        <v>5</v>
      </c>
      <c r="N49" s="12">
        <v>4</v>
      </c>
      <c r="O49" s="12">
        <v>5</v>
      </c>
      <c r="P49" s="12">
        <v>5</v>
      </c>
      <c r="Q49" s="12">
        <v>4</v>
      </c>
      <c r="R49" s="12">
        <v>4</v>
      </c>
      <c r="S49" s="12">
        <v>4</v>
      </c>
      <c r="T49" s="12">
        <v>4</v>
      </c>
      <c r="U49" s="12">
        <v>5</v>
      </c>
      <c r="V49" s="11">
        <f t="shared" si="0"/>
        <v>90</v>
      </c>
    </row>
    <row r="50" spans="1:22" ht="15.75" customHeight="1">
      <c r="A50" s="10">
        <v>42</v>
      </c>
      <c r="B50" s="12">
        <v>5</v>
      </c>
      <c r="C50" s="12">
        <v>5</v>
      </c>
      <c r="D50" s="12">
        <v>5</v>
      </c>
      <c r="E50" s="12">
        <v>4</v>
      </c>
      <c r="F50" s="12">
        <v>4</v>
      </c>
      <c r="G50" s="12">
        <v>5</v>
      </c>
      <c r="H50" s="12">
        <v>5</v>
      </c>
      <c r="I50" s="12">
        <v>5</v>
      </c>
      <c r="J50" s="12">
        <v>5</v>
      </c>
      <c r="K50" s="12">
        <v>5</v>
      </c>
      <c r="L50" s="12">
        <v>5</v>
      </c>
      <c r="M50" s="12">
        <v>5</v>
      </c>
      <c r="N50" s="12">
        <v>5</v>
      </c>
      <c r="O50" s="12">
        <v>5</v>
      </c>
      <c r="P50" s="12">
        <v>5</v>
      </c>
      <c r="Q50" s="12">
        <v>5</v>
      </c>
      <c r="R50" s="12">
        <v>5</v>
      </c>
      <c r="S50" s="12">
        <v>5</v>
      </c>
      <c r="T50" s="12">
        <v>5</v>
      </c>
      <c r="U50" s="12">
        <v>5</v>
      </c>
      <c r="V50" s="11">
        <f t="shared" si="0"/>
        <v>98</v>
      </c>
    </row>
    <row r="51" spans="1:22" ht="15.75" customHeight="1">
      <c r="A51" s="10">
        <v>43</v>
      </c>
      <c r="B51" s="12">
        <v>3</v>
      </c>
      <c r="C51" s="12">
        <v>3</v>
      </c>
      <c r="D51" s="12">
        <v>3</v>
      </c>
      <c r="E51" s="12">
        <v>3</v>
      </c>
      <c r="F51" s="12">
        <v>3</v>
      </c>
      <c r="G51" s="12">
        <v>3</v>
      </c>
      <c r="H51" s="12">
        <v>3</v>
      </c>
      <c r="I51" s="12">
        <v>3</v>
      </c>
      <c r="J51" s="12">
        <v>3</v>
      </c>
      <c r="K51" s="12">
        <v>3</v>
      </c>
      <c r="L51" s="12">
        <v>3</v>
      </c>
      <c r="M51" s="12">
        <v>3</v>
      </c>
      <c r="N51" s="12">
        <v>3</v>
      </c>
      <c r="O51" s="12">
        <v>5</v>
      </c>
      <c r="P51" s="12">
        <v>4</v>
      </c>
      <c r="Q51" s="12">
        <v>3</v>
      </c>
      <c r="R51" s="12">
        <v>3</v>
      </c>
      <c r="S51" s="12">
        <v>3</v>
      </c>
      <c r="T51" s="12">
        <v>3</v>
      </c>
      <c r="U51" s="12">
        <v>3</v>
      </c>
      <c r="V51" s="11">
        <f t="shared" si="0"/>
        <v>63</v>
      </c>
    </row>
    <row r="52" spans="1:22" ht="15.75" customHeight="1">
      <c r="A52" s="10">
        <v>44</v>
      </c>
      <c r="B52" s="12">
        <v>2</v>
      </c>
      <c r="C52" s="12">
        <v>2</v>
      </c>
      <c r="D52" s="12">
        <v>4</v>
      </c>
      <c r="E52" s="12">
        <v>2</v>
      </c>
      <c r="F52" s="12">
        <v>2</v>
      </c>
      <c r="G52" s="12">
        <v>2</v>
      </c>
      <c r="H52" s="12">
        <v>3</v>
      </c>
      <c r="I52" s="12">
        <v>3</v>
      </c>
      <c r="J52" s="12">
        <v>3</v>
      </c>
      <c r="K52" s="12">
        <v>3</v>
      </c>
      <c r="L52" s="12">
        <v>4</v>
      </c>
      <c r="M52" s="12">
        <v>5</v>
      </c>
      <c r="N52" s="12">
        <v>5</v>
      </c>
      <c r="O52" s="12">
        <v>5</v>
      </c>
      <c r="P52" s="12">
        <v>5</v>
      </c>
      <c r="Q52" s="12">
        <v>5</v>
      </c>
      <c r="R52" s="12">
        <v>4</v>
      </c>
      <c r="S52" s="12">
        <v>5</v>
      </c>
      <c r="T52" s="12">
        <v>5</v>
      </c>
      <c r="U52" s="12">
        <v>5</v>
      </c>
      <c r="V52" s="11">
        <f t="shared" si="0"/>
        <v>74</v>
      </c>
    </row>
    <row r="53" spans="1:22" ht="15.75" customHeight="1">
      <c r="A53" s="10">
        <v>45</v>
      </c>
      <c r="B53" s="12">
        <v>5</v>
      </c>
      <c r="C53" s="12">
        <v>5</v>
      </c>
      <c r="D53" s="12">
        <v>5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5</v>
      </c>
      <c r="M53" s="12">
        <v>1</v>
      </c>
      <c r="N53" s="12">
        <v>2</v>
      </c>
      <c r="O53" s="12">
        <v>2</v>
      </c>
      <c r="P53" s="12">
        <v>2</v>
      </c>
      <c r="Q53" s="12">
        <v>2</v>
      </c>
      <c r="R53" s="12">
        <v>2</v>
      </c>
      <c r="S53" s="12">
        <v>3</v>
      </c>
      <c r="T53" s="12">
        <v>4</v>
      </c>
      <c r="U53" s="12">
        <v>5</v>
      </c>
      <c r="V53" s="11">
        <f t="shared" si="0"/>
        <v>50</v>
      </c>
    </row>
    <row r="54" spans="1:22" ht="15.75" customHeight="1">
      <c r="A54" s="10">
        <v>46</v>
      </c>
      <c r="B54" s="12">
        <v>5</v>
      </c>
      <c r="C54" s="12">
        <v>5</v>
      </c>
      <c r="D54" s="12">
        <v>5</v>
      </c>
      <c r="E54" s="12">
        <v>5</v>
      </c>
      <c r="F54" s="12">
        <v>5</v>
      </c>
      <c r="G54" s="12">
        <v>5</v>
      </c>
      <c r="H54" s="12">
        <v>5</v>
      </c>
      <c r="I54" s="12">
        <v>5</v>
      </c>
      <c r="J54" s="12">
        <v>5</v>
      </c>
      <c r="K54" s="12">
        <v>2</v>
      </c>
      <c r="L54" s="12">
        <v>2</v>
      </c>
      <c r="M54" s="12">
        <v>2</v>
      </c>
      <c r="N54" s="12">
        <v>2</v>
      </c>
      <c r="O54" s="12">
        <v>2</v>
      </c>
      <c r="P54" s="12">
        <v>5</v>
      </c>
      <c r="Q54" s="12">
        <v>5</v>
      </c>
      <c r="R54" s="12">
        <v>5</v>
      </c>
      <c r="S54" s="12">
        <v>5</v>
      </c>
      <c r="T54" s="12">
        <v>5</v>
      </c>
      <c r="U54" s="12">
        <v>5</v>
      </c>
      <c r="V54" s="11">
        <f t="shared" si="0"/>
        <v>85</v>
      </c>
    </row>
    <row r="55" spans="1:22" ht="15.75" customHeight="1">
      <c r="A55" s="10">
        <v>47</v>
      </c>
      <c r="B55" s="12">
        <v>4</v>
      </c>
      <c r="C55" s="12">
        <v>4</v>
      </c>
      <c r="D55" s="12">
        <v>5</v>
      </c>
      <c r="E55" s="12">
        <v>4</v>
      </c>
      <c r="F55" s="12">
        <v>5</v>
      </c>
      <c r="G55" s="12">
        <v>4</v>
      </c>
      <c r="H55" s="12">
        <v>5</v>
      </c>
      <c r="I55" s="12">
        <v>5</v>
      </c>
      <c r="J55" s="12">
        <v>5</v>
      </c>
      <c r="K55" s="12">
        <v>5</v>
      </c>
      <c r="L55" s="12">
        <v>5</v>
      </c>
      <c r="M55" s="12">
        <v>5</v>
      </c>
      <c r="N55" s="12">
        <v>5</v>
      </c>
      <c r="O55" s="12">
        <v>5</v>
      </c>
      <c r="P55" s="12">
        <v>5</v>
      </c>
      <c r="Q55" s="12">
        <v>5</v>
      </c>
      <c r="R55" s="12">
        <v>5</v>
      </c>
      <c r="S55" s="12">
        <v>5</v>
      </c>
      <c r="T55" s="12">
        <v>5</v>
      </c>
      <c r="U55" s="12">
        <v>5</v>
      </c>
      <c r="V55" s="11">
        <f t="shared" si="0"/>
        <v>96</v>
      </c>
    </row>
    <row r="56" spans="1:22" ht="15.75" customHeight="1">
      <c r="A56" s="10">
        <v>48</v>
      </c>
      <c r="B56" s="12">
        <v>4</v>
      </c>
      <c r="C56" s="12">
        <v>5</v>
      </c>
      <c r="D56" s="12">
        <v>4</v>
      </c>
      <c r="E56" s="12">
        <v>5</v>
      </c>
      <c r="F56" s="12">
        <v>4</v>
      </c>
      <c r="G56" s="12">
        <v>3</v>
      </c>
      <c r="H56" s="12">
        <v>4</v>
      </c>
      <c r="I56" s="12">
        <v>5</v>
      </c>
      <c r="J56" s="12">
        <v>4</v>
      </c>
      <c r="K56" s="12">
        <v>5</v>
      </c>
      <c r="L56" s="12">
        <v>4</v>
      </c>
      <c r="M56" s="12">
        <v>4</v>
      </c>
      <c r="N56" s="12">
        <v>5</v>
      </c>
      <c r="O56" s="12">
        <v>5</v>
      </c>
      <c r="P56" s="12">
        <v>4</v>
      </c>
      <c r="Q56" s="12">
        <v>4</v>
      </c>
      <c r="R56" s="12">
        <v>5</v>
      </c>
      <c r="S56" s="12">
        <v>4</v>
      </c>
      <c r="T56" s="12">
        <v>5</v>
      </c>
      <c r="U56" s="12">
        <v>5</v>
      </c>
      <c r="V56" s="11">
        <f t="shared" si="0"/>
        <v>88</v>
      </c>
    </row>
    <row r="57" spans="1:22" ht="15.75" customHeight="1">
      <c r="A57" s="10">
        <v>49</v>
      </c>
      <c r="B57" s="12">
        <v>4</v>
      </c>
      <c r="C57" s="12">
        <v>4</v>
      </c>
      <c r="D57" s="12">
        <v>5</v>
      </c>
      <c r="E57" s="12">
        <v>5</v>
      </c>
      <c r="F57" s="12">
        <v>3</v>
      </c>
      <c r="G57" s="12">
        <v>3</v>
      </c>
      <c r="H57" s="12">
        <v>5</v>
      </c>
      <c r="I57" s="12">
        <v>5</v>
      </c>
      <c r="J57" s="12">
        <v>5</v>
      </c>
      <c r="K57" s="12">
        <v>5</v>
      </c>
      <c r="L57" s="12">
        <v>5</v>
      </c>
      <c r="M57" s="12">
        <v>3</v>
      </c>
      <c r="N57" s="12">
        <v>3</v>
      </c>
      <c r="O57" s="12">
        <v>3</v>
      </c>
      <c r="P57" s="12">
        <v>3</v>
      </c>
      <c r="Q57" s="12">
        <v>3</v>
      </c>
      <c r="R57" s="12">
        <v>4</v>
      </c>
      <c r="S57" s="12">
        <v>4</v>
      </c>
      <c r="T57" s="12">
        <v>3</v>
      </c>
      <c r="U57" s="12">
        <v>3</v>
      </c>
      <c r="V57" s="11">
        <f t="shared" si="0"/>
        <v>78</v>
      </c>
    </row>
    <row r="58" spans="1:22" ht="15.75" customHeight="1">
      <c r="A58" s="10">
        <v>50</v>
      </c>
      <c r="B58" s="12">
        <v>4</v>
      </c>
      <c r="C58" s="12">
        <v>4</v>
      </c>
      <c r="D58" s="12">
        <v>3</v>
      </c>
      <c r="E58" s="12">
        <v>3</v>
      </c>
      <c r="F58" s="12">
        <v>3</v>
      </c>
      <c r="G58" s="12">
        <v>3</v>
      </c>
      <c r="H58" s="12">
        <v>2</v>
      </c>
      <c r="I58" s="12">
        <v>2</v>
      </c>
      <c r="J58" s="12">
        <v>2</v>
      </c>
      <c r="K58" s="12">
        <v>1</v>
      </c>
      <c r="L58" s="12">
        <v>1</v>
      </c>
      <c r="M58" s="12">
        <v>5</v>
      </c>
      <c r="N58" s="12">
        <v>1</v>
      </c>
      <c r="O58" s="12">
        <v>1</v>
      </c>
      <c r="P58" s="12">
        <v>1</v>
      </c>
      <c r="Q58" s="12">
        <v>1</v>
      </c>
      <c r="R58" s="12">
        <v>1</v>
      </c>
      <c r="S58" s="12">
        <v>5</v>
      </c>
      <c r="T58" s="12">
        <v>5</v>
      </c>
      <c r="U58" s="12">
        <v>5</v>
      </c>
      <c r="V58" s="11">
        <f t="shared" si="0"/>
        <v>53</v>
      </c>
    </row>
    <row r="59" spans="1:22" ht="15.75" customHeight="1">
      <c r="A59" s="10">
        <v>51</v>
      </c>
      <c r="B59" s="12">
        <v>5</v>
      </c>
      <c r="C59" s="12">
        <v>5</v>
      </c>
      <c r="D59" s="12">
        <v>5</v>
      </c>
      <c r="E59" s="12">
        <v>5</v>
      </c>
      <c r="F59" s="12">
        <v>5</v>
      </c>
      <c r="G59" s="12">
        <v>5</v>
      </c>
      <c r="H59" s="12">
        <v>5</v>
      </c>
      <c r="I59" s="12">
        <v>5</v>
      </c>
      <c r="J59" s="12">
        <v>5</v>
      </c>
      <c r="K59" s="12">
        <v>2</v>
      </c>
      <c r="L59" s="12">
        <v>2</v>
      </c>
      <c r="M59" s="12">
        <v>2</v>
      </c>
      <c r="N59" s="12">
        <v>2</v>
      </c>
      <c r="O59" s="12">
        <v>5</v>
      </c>
      <c r="P59" s="12">
        <v>2</v>
      </c>
      <c r="Q59" s="12">
        <v>5</v>
      </c>
      <c r="R59" s="12">
        <v>2</v>
      </c>
      <c r="S59" s="12">
        <v>2</v>
      </c>
      <c r="T59" s="12">
        <v>5</v>
      </c>
      <c r="U59" s="12">
        <v>5</v>
      </c>
      <c r="V59" s="11">
        <f t="shared" si="0"/>
        <v>79</v>
      </c>
    </row>
    <row r="60" spans="1:22" ht="15.75" customHeight="1">
      <c r="A60" s="10">
        <v>52</v>
      </c>
      <c r="B60" s="12">
        <v>5</v>
      </c>
      <c r="C60" s="12">
        <v>4</v>
      </c>
      <c r="D60" s="12">
        <v>5</v>
      </c>
      <c r="E60" s="12">
        <v>5</v>
      </c>
      <c r="F60" s="12">
        <v>5</v>
      </c>
      <c r="G60" s="12">
        <v>5</v>
      </c>
      <c r="H60" s="12">
        <v>4</v>
      </c>
      <c r="I60" s="12">
        <v>4</v>
      </c>
      <c r="J60" s="12">
        <v>4</v>
      </c>
      <c r="K60" s="12">
        <v>4</v>
      </c>
      <c r="L60" s="12">
        <v>5</v>
      </c>
      <c r="M60" s="12">
        <v>4</v>
      </c>
      <c r="N60" s="12">
        <v>5</v>
      </c>
      <c r="O60" s="12">
        <v>4</v>
      </c>
      <c r="P60" s="12">
        <v>5</v>
      </c>
      <c r="Q60" s="12">
        <v>4</v>
      </c>
      <c r="R60" s="12">
        <v>5</v>
      </c>
      <c r="S60" s="12">
        <v>5</v>
      </c>
      <c r="T60" s="12">
        <v>4</v>
      </c>
      <c r="U60" s="12">
        <v>3</v>
      </c>
      <c r="V60" s="11">
        <f t="shared" si="0"/>
        <v>89</v>
      </c>
    </row>
    <row r="61" spans="1:22" ht="15.75" customHeight="1">
      <c r="A61" s="10">
        <v>53</v>
      </c>
      <c r="B61" s="12">
        <v>5</v>
      </c>
      <c r="C61" s="12">
        <v>5</v>
      </c>
      <c r="D61" s="12">
        <v>5</v>
      </c>
      <c r="E61" s="12">
        <v>5</v>
      </c>
      <c r="F61" s="12">
        <v>5</v>
      </c>
      <c r="G61" s="12">
        <v>5</v>
      </c>
      <c r="H61" s="12">
        <v>5</v>
      </c>
      <c r="I61" s="12">
        <v>5</v>
      </c>
      <c r="J61" s="12">
        <v>3</v>
      </c>
      <c r="K61" s="12">
        <v>3</v>
      </c>
      <c r="L61" s="12">
        <v>3</v>
      </c>
      <c r="M61" s="12">
        <v>2</v>
      </c>
      <c r="N61" s="12">
        <v>2</v>
      </c>
      <c r="O61" s="12">
        <v>2</v>
      </c>
      <c r="P61" s="12">
        <v>2</v>
      </c>
      <c r="Q61" s="12">
        <v>2</v>
      </c>
      <c r="R61" s="12">
        <v>2</v>
      </c>
      <c r="S61" s="12">
        <v>1</v>
      </c>
      <c r="T61" s="12">
        <v>1</v>
      </c>
      <c r="U61" s="12">
        <v>5</v>
      </c>
      <c r="V61" s="11">
        <f t="shared" si="0"/>
        <v>68</v>
      </c>
    </row>
    <row r="62" spans="1:22" ht="15.75" customHeight="1">
      <c r="A62" s="10">
        <v>54</v>
      </c>
      <c r="B62" s="12">
        <v>5</v>
      </c>
      <c r="C62" s="12">
        <v>5</v>
      </c>
      <c r="D62" s="12">
        <v>5</v>
      </c>
      <c r="E62" s="12">
        <v>5</v>
      </c>
      <c r="F62" s="12">
        <v>5</v>
      </c>
      <c r="G62" s="12">
        <v>5</v>
      </c>
      <c r="H62" s="12">
        <v>5</v>
      </c>
      <c r="I62" s="12">
        <v>5</v>
      </c>
      <c r="J62" s="12">
        <v>5</v>
      </c>
      <c r="K62" s="12">
        <v>5</v>
      </c>
      <c r="L62" s="12">
        <v>5</v>
      </c>
      <c r="M62" s="12">
        <v>5</v>
      </c>
      <c r="N62" s="12">
        <v>5</v>
      </c>
      <c r="O62" s="12">
        <v>5</v>
      </c>
      <c r="P62" s="12">
        <v>2</v>
      </c>
      <c r="Q62" s="12">
        <v>2</v>
      </c>
      <c r="R62" s="12">
        <v>2</v>
      </c>
      <c r="S62" s="12">
        <v>2</v>
      </c>
      <c r="T62" s="12">
        <v>5</v>
      </c>
      <c r="U62" s="12">
        <v>5</v>
      </c>
      <c r="V62" s="12">
        <f t="shared" si="0"/>
        <v>88</v>
      </c>
    </row>
    <row r="63" spans="1:22" ht="15.75" customHeight="1">
      <c r="A63" s="10">
        <v>55</v>
      </c>
      <c r="B63" s="12">
        <v>5</v>
      </c>
      <c r="C63" s="12">
        <v>5</v>
      </c>
      <c r="D63" s="12">
        <v>5</v>
      </c>
      <c r="E63" s="12">
        <v>5</v>
      </c>
      <c r="F63" s="12">
        <v>5</v>
      </c>
      <c r="G63" s="12">
        <v>5</v>
      </c>
      <c r="H63" s="12">
        <v>5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  <c r="N63" s="12">
        <v>1</v>
      </c>
      <c r="O63" s="12">
        <v>2</v>
      </c>
      <c r="P63" s="12">
        <v>5</v>
      </c>
      <c r="Q63" s="12">
        <v>5</v>
      </c>
      <c r="R63" s="12">
        <v>5</v>
      </c>
      <c r="S63" s="12">
        <v>5</v>
      </c>
      <c r="T63" s="12">
        <v>5</v>
      </c>
      <c r="U63" s="12">
        <v>5</v>
      </c>
      <c r="V63" s="12">
        <f t="shared" si="0"/>
        <v>73</v>
      </c>
    </row>
    <row r="64" spans="1:22" ht="15.75" customHeight="1">
      <c r="A64" s="10">
        <v>56</v>
      </c>
      <c r="B64" s="12">
        <v>4</v>
      </c>
      <c r="C64" s="12">
        <v>5</v>
      </c>
      <c r="D64" s="12">
        <v>4</v>
      </c>
      <c r="E64" s="12">
        <v>4</v>
      </c>
      <c r="F64" s="12">
        <v>4</v>
      </c>
      <c r="G64" s="12">
        <v>3</v>
      </c>
      <c r="H64" s="12">
        <v>4</v>
      </c>
      <c r="I64" s="12">
        <v>5</v>
      </c>
      <c r="J64" s="12">
        <v>4</v>
      </c>
      <c r="K64" s="12">
        <v>5</v>
      </c>
      <c r="L64" s="12">
        <v>4</v>
      </c>
      <c r="M64" s="12">
        <v>4</v>
      </c>
      <c r="N64" s="12">
        <v>5</v>
      </c>
      <c r="O64" s="12">
        <v>5</v>
      </c>
      <c r="P64" s="12">
        <v>4</v>
      </c>
      <c r="Q64" s="12">
        <v>4</v>
      </c>
      <c r="R64" s="12">
        <v>5</v>
      </c>
      <c r="S64" s="12">
        <v>4</v>
      </c>
      <c r="T64" s="12">
        <v>5</v>
      </c>
      <c r="U64" s="12">
        <v>5</v>
      </c>
      <c r="V64" s="12">
        <f t="shared" si="0"/>
        <v>87</v>
      </c>
    </row>
    <row r="65" spans="1:23" ht="15.75" customHeight="1">
      <c r="A65" s="10">
        <v>57</v>
      </c>
      <c r="B65" s="12">
        <v>4</v>
      </c>
      <c r="C65" s="12">
        <v>5</v>
      </c>
      <c r="D65" s="12">
        <v>4</v>
      </c>
      <c r="E65" s="12">
        <v>4</v>
      </c>
      <c r="F65" s="12">
        <v>4</v>
      </c>
      <c r="G65" s="12">
        <v>3</v>
      </c>
      <c r="H65" s="12">
        <v>4</v>
      </c>
      <c r="I65" s="12">
        <v>5</v>
      </c>
      <c r="J65" s="12">
        <v>4</v>
      </c>
      <c r="K65" s="12">
        <v>5</v>
      </c>
      <c r="L65" s="12">
        <v>4</v>
      </c>
      <c r="M65" s="12">
        <v>4</v>
      </c>
      <c r="N65" s="12">
        <v>5</v>
      </c>
      <c r="O65" s="12">
        <v>5</v>
      </c>
      <c r="P65" s="12">
        <v>4</v>
      </c>
      <c r="Q65" s="12">
        <v>4</v>
      </c>
      <c r="R65" s="12">
        <v>5</v>
      </c>
      <c r="S65" s="12">
        <v>4</v>
      </c>
      <c r="T65" s="12">
        <v>5</v>
      </c>
      <c r="U65" s="12">
        <v>5</v>
      </c>
      <c r="V65" s="12">
        <f t="shared" si="0"/>
        <v>87</v>
      </c>
    </row>
    <row r="66" spans="1:23" ht="15.75" customHeight="1">
      <c r="A66" s="13"/>
      <c r="B66" s="41">
        <f>SUM(B9:B65)</f>
        <v>237</v>
      </c>
      <c r="C66" s="41">
        <f t="shared" ref="C66:U66" si="1">SUM(C9:C65)</f>
        <v>240</v>
      </c>
      <c r="D66" s="41">
        <f t="shared" si="1"/>
        <v>239</v>
      </c>
      <c r="E66" s="41">
        <f t="shared" si="1"/>
        <v>224</v>
      </c>
      <c r="F66" s="41">
        <f t="shared" si="1"/>
        <v>223</v>
      </c>
      <c r="G66" s="41">
        <f t="shared" si="1"/>
        <v>219</v>
      </c>
      <c r="H66" s="41">
        <f t="shared" si="1"/>
        <v>228</v>
      </c>
      <c r="I66" s="41">
        <f t="shared" si="1"/>
        <v>220</v>
      </c>
      <c r="J66" s="41">
        <f t="shared" si="1"/>
        <v>216</v>
      </c>
      <c r="K66" s="41">
        <f t="shared" si="1"/>
        <v>215</v>
      </c>
      <c r="L66" s="41">
        <f t="shared" si="1"/>
        <v>224</v>
      </c>
      <c r="M66" s="41">
        <f t="shared" si="1"/>
        <v>228</v>
      </c>
      <c r="N66" s="41">
        <f t="shared" si="1"/>
        <v>236</v>
      </c>
      <c r="O66" s="41">
        <f t="shared" si="1"/>
        <v>232</v>
      </c>
      <c r="P66" s="41">
        <f t="shared" si="1"/>
        <v>225</v>
      </c>
      <c r="Q66" s="41">
        <f t="shared" si="1"/>
        <v>233</v>
      </c>
      <c r="R66" s="41">
        <f t="shared" si="1"/>
        <v>232</v>
      </c>
      <c r="S66" s="41">
        <f t="shared" si="1"/>
        <v>242</v>
      </c>
      <c r="T66" s="41">
        <f t="shared" si="1"/>
        <v>247</v>
      </c>
      <c r="U66" s="41">
        <f t="shared" si="1"/>
        <v>255</v>
      </c>
      <c r="V66" s="11">
        <f t="shared" si="0"/>
        <v>4615</v>
      </c>
      <c r="W66" s="14"/>
    </row>
    <row r="67" spans="1:23" ht="15.75" customHeight="1">
      <c r="A67" s="13"/>
      <c r="B67" s="43">
        <f>B66/57</f>
        <v>4.1578947368421098</v>
      </c>
      <c r="C67" s="43">
        <f t="shared" ref="C67:U67" si="2">C66/57</f>
        <v>4.2105263157894699</v>
      </c>
      <c r="D67" s="43">
        <f t="shared" si="2"/>
        <v>4.1929824561403501</v>
      </c>
      <c r="E67" s="43">
        <f t="shared" si="2"/>
        <v>3.9298245614035099</v>
      </c>
      <c r="F67" s="43">
        <f t="shared" si="2"/>
        <v>3.9122807017543901</v>
      </c>
      <c r="G67" s="43">
        <f t="shared" si="2"/>
        <v>3.8421052631578898</v>
      </c>
      <c r="H67" s="43">
        <f t="shared" si="2"/>
        <v>4</v>
      </c>
      <c r="I67" s="43">
        <f t="shared" si="2"/>
        <v>3.8596491228070202</v>
      </c>
      <c r="J67" s="43">
        <f t="shared" si="2"/>
        <v>3.7894736842105301</v>
      </c>
      <c r="K67" s="43">
        <f t="shared" si="2"/>
        <v>3.7719298245614001</v>
      </c>
      <c r="L67" s="43">
        <f t="shared" si="2"/>
        <v>3.9298245614035099</v>
      </c>
      <c r="M67" s="43">
        <f t="shared" si="2"/>
        <v>4</v>
      </c>
      <c r="N67" s="43">
        <f t="shared" si="2"/>
        <v>4.1403508771929802</v>
      </c>
      <c r="O67" s="43">
        <f t="shared" si="2"/>
        <v>4.0701754385964897</v>
      </c>
      <c r="P67" s="43">
        <f t="shared" si="2"/>
        <v>3.9473684210526301</v>
      </c>
      <c r="Q67" s="43">
        <f t="shared" si="2"/>
        <v>4.0877192982456103</v>
      </c>
      <c r="R67" s="43">
        <f t="shared" si="2"/>
        <v>4.0701754385964897</v>
      </c>
      <c r="S67" s="43">
        <f t="shared" si="2"/>
        <v>4.2456140350877201</v>
      </c>
      <c r="T67" s="43">
        <f t="shared" si="2"/>
        <v>4.3333333333333304</v>
      </c>
      <c r="U67" s="43">
        <f t="shared" si="2"/>
        <v>4.4736842105263204</v>
      </c>
      <c r="V67" s="36">
        <v>4.47</v>
      </c>
    </row>
    <row r="68" spans="1:23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3">
      <c r="A69" s="99" t="s">
        <v>8</v>
      </c>
      <c r="B69" s="20">
        <v>1.1000000000000001</v>
      </c>
      <c r="C69" s="20">
        <v>1.2</v>
      </c>
      <c r="D69" s="20">
        <v>1.3</v>
      </c>
      <c r="E69" s="20">
        <v>1.4</v>
      </c>
      <c r="F69" s="20">
        <v>1.5</v>
      </c>
      <c r="G69" s="20">
        <v>2.1</v>
      </c>
      <c r="H69" s="20">
        <v>2.2000000000000002</v>
      </c>
      <c r="I69" s="20">
        <v>2.2999999999999998</v>
      </c>
      <c r="J69" s="20">
        <v>2.4</v>
      </c>
      <c r="K69" s="20">
        <v>2.5</v>
      </c>
      <c r="L69" s="20">
        <v>3.1</v>
      </c>
      <c r="M69" s="20">
        <v>3.2</v>
      </c>
      <c r="N69" s="20">
        <v>3.3</v>
      </c>
      <c r="O69" s="20">
        <v>3.4</v>
      </c>
      <c r="P69" s="20">
        <v>3.5</v>
      </c>
      <c r="Q69" s="20">
        <v>4.0999999999999996</v>
      </c>
      <c r="R69" s="20">
        <v>4.2</v>
      </c>
      <c r="S69" s="20">
        <v>4.3</v>
      </c>
      <c r="T69" s="20">
        <v>4.4000000000000004</v>
      </c>
      <c r="U69" s="20">
        <v>4.5</v>
      </c>
      <c r="V69" s="102" t="s">
        <v>7</v>
      </c>
    </row>
    <row r="70" spans="1:23">
      <c r="A70" s="100"/>
      <c r="B70" s="89" t="s">
        <v>9</v>
      </c>
      <c r="C70" s="89"/>
      <c r="D70" s="89"/>
      <c r="E70" s="89"/>
      <c r="F70" s="89"/>
      <c r="G70" s="90" t="s">
        <v>10</v>
      </c>
      <c r="H70" s="90"/>
      <c r="I70" s="90"/>
      <c r="J70" s="90"/>
      <c r="K70" s="90"/>
      <c r="L70" s="90" t="s">
        <v>11</v>
      </c>
      <c r="M70" s="90"/>
      <c r="N70" s="90"/>
      <c r="O70" s="90"/>
      <c r="P70" s="90"/>
      <c r="Q70" s="90" t="s">
        <v>12</v>
      </c>
      <c r="R70" s="90"/>
      <c r="S70" s="90"/>
      <c r="T70" s="90"/>
      <c r="U70" s="90"/>
      <c r="V70" s="103"/>
    </row>
    <row r="71" spans="1:23" ht="15.75">
      <c r="A71" s="101"/>
      <c r="B71" s="43">
        <v>4.1578947368421098</v>
      </c>
      <c r="C71" s="43">
        <v>4.2105263157894699</v>
      </c>
      <c r="D71" s="43">
        <v>4.1929824561403501</v>
      </c>
      <c r="E71" s="43">
        <v>3.9298245614035099</v>
      </c>
      <c r="F71" s="43">
        <v>3.9122807017543901</v>
      </c>
      <c r="G71" s="43">
        <v>3.8421052631578898</v>
      </c>
      <c r="H71" s="43">
        <v>4</v>
      </c>
      <c r="I71" s="43">
        <v>3.8596491228070202</v>
      </c>
      <c r="J71" s="43">
        <v>3.7894736842105301</v>
      </c>
      <c r="K71" s="43">
        <v>3.7719298245614001</v>
      </c>
      <c r="L71" s="43">
        <v>3.9298245614035099</v>
      </c>
      <c r="M71" s="43">
        <v>4</v>
      </c>
      <c r="N71" s="43">
        <v>4.1403508771929802</v>
      </c>
      <c r="O71" s="43">
        <v>4.0701754385964897</v>
      </c>
      <c r="P71" s="43">
        <v>3.9473684210526301</v>
      </c>
      <c r="Q71" s="43">
        <v>4.0877192982456103</v>
      </c>
      <c r="R71" s="43">
        <v>4.0701754385964897</v>
      </c>
      <c r="S71" s="43">
        <v>4.2456140350877201</v>
      </c>
      <c r="T71" s="43">
        <v>4.3333333333333304</v>
      </c>
      <c r="U71" s="43">
        <v>4.47</v>
      </c>
      <c r="V71" s="22">
        <v>4.47</v>
      </c>
    </row>
    <row r="72" spans="1:23">
      <c r="A72" s="92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2"/>
    </row>
    <row r="73" spans="1:23" ht="27.75" customHeight="1">
      <c r="A73" s="23" t="s">
        <v>13</v>
      </c>
      <c r="B73" s="24">
        <v>1.1000000000000001</v>
      </c>
      <c r="C73" s="24">
        <v>1.2</v>
      </c>
      <c r="D73" s="24">
        <v>1.3</v>
      </c>
      <c r="E73" s="24">
        <v>1.4</v>
      </c>
      <c r="F73" s="24">
        <v>1.5</v>
      </c>
      <c r="G73" s="24">
        <v>2.1</v>
      </c>
      <c r="H73" s="24">
        <v>2.2000000000000002</v>
      </c>
      <c r="I73" s="24">
        <v>2.2999999999999998</v>
      </c>
      <c r="J73" s="24">
        <v>2.4</v>
      </c>
      <c r="K73" s="24">
        <v>2.5</v>
      </c>
      <c r="L73" s="24">
        <v>3.1</v>
      </c>
      <c r="M73" s="24">
        <v>3.2</v>
      </c>
      <c r="N73" s="24">
        <v>3.3</v>
      </c>
      <c r="O73" s="24">
        <v>3.4</v>
      </c>
      <c r="P73" s="24">
        <v>3.5</v>
      </c>
      <c r="Q73" s="24">
        <v>4.0999999999999996</v>
      </c>
      <c r="R73" s="24">
        <v>4.2</v>
      </c>
      <c r="S73" s="24">
        <v>4.3</v>
      </c>
      <c r="T73" s="24">
        <v>4.4000000000000004</v>
      </c>
      <c r="U73" s="24">
        <v>4.5</v>
      </c>
      <c r="V73" s="24" t="s">
        <v>6</v>
      </c>
    </row>
    <row r="74" spans="1:23" ht="17.25" customHeight="1">
      <c r="A74" s="20">
        <v>5</v>
      </c>
      <c r="B74" s="25">
        <f t="shared" ref="B74:Q74" si="3">COUNTIF(B9:B65,5)</f>
        <v>20</v>
      </c>
      <c r="C74" s="25">
        <f t="shared" si="3"/>
        <v>23</v>
      </c>
      <c r="D74" s="25">
        <f t="shared" si="3"/>
        <v>19</v>
      </c>
      <c r="E74" s="25">
        <f t="shared" si="3"/>
        <v>17</v>
      </c>
      <c r="F74" s="25">
        <f t="shared" si="3"/>
        <v>16</v>
      </c>
      <c r="G74" s="25">
        <f t="shared" si="3"/>
        <v>16</v>
      </c>
      <c r="H74" s="25">
        <f t="shared" si="3"/>
        <v>17</v>
      </c>
      <c r="I74" s="25">
        <f t="shared" si="3"/>
        <v>17</v>
      </c>
      <c r="J74" s="25">
        <f t="shared" si="3"/>
        <v>15</v>
      </c>
      <c r="K74" s="25">
        <f t="shared" si="3"/>
        <v>16</v>
      </c>
      <c r="L74" s="25">
        <f t="shared" si="3"/>
        <v>18</v>
      </c>
      <c r="M74" s="25">
        <f t="shared" si="3"/>
        <v>26</v>
      </c>
      <c r="N74" s="25">
        <f t="shared" si="3"/>
        <v>33</v>
      </c>
      <c r="O74" s="25">
        <f t="shared" si="3"/>
        <v>30</v>
      </c>
      <c r="P74" s="25">
        <f t="shared" si="3"/>
        <v>24</v>
      </c>
      <c r="Q74" s="25">
        <f t="shared" si="3"/>
        <v>28</v>
      </c>
      <c r="R74" s="25">
        <f>COUNTIF(R9:R60,5)</f>
        <v>26</v>
      </c>
      <c r="S74" s="25">
        <f>COUNTIF(S9:S65,5)</f>
        <v>32</v>
      </c>
      <c r="T74" s="25">
        <f>COUNTIF(T9:T65,5)</f>
        <v>32</v>
      </c>
      <c r="U74" s="25">
        <f>COUNTIF(U9:U65,5)</f>
        <v>38</v>
      </c>
      <c r="V74" s="25">
        <f>SUM(B74:U74)</f>
        <v>463</v>
      </c>
    </row>
    <row r="75" spans="1:23" ht="17.25" customHeight="1">
      <c r="A75" s="20">
        <v>4</v>
      </c>
      <c r="B75" s="25">
        <f t="shared" ref="B75:Q75" si="4">COUNTIF(B9:B65,4)</f>
        <v>31</v>
      </c>
      <c r="C75" s="25">
        <f t="shared" si="4"/>
        <v>27</v>
      </c>
      <c r="D75" s="25">
        <f t="shared" si="4"/>
        <v>33</v>
      </c>
      <c r="E75" s="25">
        <f t="shared" si="4"/>
        <v>29</v>
      </c>
      <c r="F75" s="25">
        <f t="shared" si="4"/>
        <v>28</v>
      </c>
      <c r="G75" s="25">
        <f t="shared" si="4"/>
        <v>27</v>
      </c>
      <c r="H75" s="25">
        <f t="shared" si="4"/>
        <v>30</v>
      </c>
      <c r="I75" s="25">
        <f t="shared" si="4"/>
        <v>28</v>
      </c>
      <c r="J75" s="25">
        <f t="shared" si="4"/>
        <v>28</v>
      </c>
      <c r="K75" s="25">
        <f t="shared" si="4"/>
        <v>26</v>
      </c>
      <c r="L75" s="25">
        <f t="shared" si="4"/>
        <v>28</v>
      </c>
      <c r="M75" s="25">
        <f t="shared" si="4"/>
        <v>19</v>
      </c>
      <c r="N75" s="25">
        <f t="shared" si="4"/>
        <v>12</v>
      </c>
      <c r="O75" s="25">
        <f t="shared" si="4"/>
        <v>14</v>
      </c>
      <c r="P75" s="25">
        <f t="shared" si="4"/>
        <v>18</v>
      </c>
      <c r="Q75" s="25">
        <f t="shared" si="4"/>
        <v>16</v>
      </c>
      <c r="R75" s="25">
        <f>COUNTIF(R9:R60,4)</f>
        <v>14</v>
      </c>
      <c r="S75" s="25">
        <f>COUNTIF(S9:S65,4)</f>
        <v>14</v>
      </c>
      <c r="T75" s="25">
        <f>COUNTIF(T9:T65,4)</f>
        <v>16</v>
      </c>
      <c r="U75" s="25">
        <f>COUNTIF(U9:U65,4)</f>
        <v>10</v>
      </c>
      <c r="V75" s="25">
        <f>SUM(B75:U75)</f>
        <v>448</v>
      </c>
    </row>
    <row r="76" spans="1:23" ht="17.25" customHeight="1">
      <c r="A76" s="20">
        <v>3</v>
      </c>
      <c r="B76" s="25">
        <f t="shared" ref="B76:Q76" si="5">COUNTIF(B9:B65,3)</f>
        <v>2</v>
      </c>
      <c r="C76" s="25">
        <f t="shared" si="5"/>
        <v>4</v>
      </c>
      <c r="D76" s="25">
        <f t="shared" si="5"/>
        <v>3</v>
      </c>
      <c r="E76" s="25">
        <f t="shared" si="5"/>
        <v>5</v>
      </c>
      <c r="F76" s="25">
        <f t="shared" si="5"/>
        <v>8</v>
      </c>
      <c r="G76" s="25">
        <f t="shared" si="5"/>
        <v>7</v>
      </c>
      <c r="H76" s="25">
        <f t="shared" si="5"/>
        <v>6</v>
      </c>
      <c r="I76" s="25">
        <f t="shared" si="5"/>
        <v>5</v>
      </c>
      <c r="J76" s="25">
        <f t="shared" si="5"/>
        <v>6</v>
      </c>
      <c r="K76" s="25">
        <f t="shared" si="5"/>
        <v>7</v>
      </c>
      <c r="L76" s="25">
        <f t="shared" si="5"/>
        <v>4</v>
      </c>
      <c r="M76" s="25">
        <f t="shared" si="5"/>
        <v>3</v>
      </c>
      <c r="N76" s="25">
        <f t="shared" si="5"/>
        <v>3</v>
      </c>
      <c r="O76" s="25">
        <f t="shared" si="5"/>
        <v>3</v>
      </c>
      <c r="P76" s="25">
        <f t="shared" si="5"/>
        <v>6</v>
      </c>
      <c r="Q76" s="25">
        <f t="shared" si="5"/>
        <v>5</v>
      </c>
      <c r="R76" s="25">
        <f>COUNTIF(R9:R60,3)</f>
        <v>5</v>
      </c>
      <c r="S76" s="25">
        <f>COUNTIF(S9:S65,3)</f>
        <v>6</v>
      </c>
      <c r="T76" s="25">
        <f>COUNTIF(T9:T65,3)</f>
        <v>7</v>
      </c>
      <c r="U76" s="25">
        <f>COUNTIF(U9:U65,3)</f>
        <v>8</v>
      </c>
      <c r="V76" s="25">
        <f>SUM(B76:U76)</f>
        <v>103</v>
      </c>
    </row>
    <row r="77" spans="1:23" ht="17.25" customHeight="1">
      <c r="A77" s="20">
        <v>2</v>
      </c>
      <c r="B77" s="25">
        <f t="shared" ref="B77:Q77" si="6">COUNTIF(B9:B65,2)</f>
        <v>3</v>
      </c>
      <c r="C77" s="25">
        <f t="shared" si="6"/>
        <v>2</v>
      </c>
      <c r="D77" s="25">
        <f t="shared" si="6"/>
        <v>1</v>
      </c>
      <c r="E77" s="25">
        <f t="shared" si="6"/>
        <v>2</v>
      </c>
      <c r="F77" s="25">
        <f t="shared" si="6"/>
        <v>2</v>
      </c>
      <c r="G77" s="25">
        <f t="shared" si="6"/>
        <v>3</v>
      </c>
      <c r="H77" s="25">
        <f t="shared" si="6"/>
        <v>1</v>
      </c>
      <c r="I77" s="25">
        <f t="shared" si="6"/>
        <v>1</v>
      </c>
      <c r="J77" s="25">
        <f t="shared" si="6"/>
        <v>3</v>
      </c>
      <c r="K77" s="25">
        <f t="shared" si="6"/>
        <v>2</v>
      </c>
      <c r="L77" s="25">
        <f t="shared" si="6"/>
        <v>3</v>
      </c>
      <c r="M77" s="25">
        <f t="shared" si="6"/>
        <v>4</v>
      </c>
      <c r="N77" s="25">
        <f t="shared" si="6"/>
        <v>5</v>
      </c>
      <c r="O77" s="25">
        <f t="shared" si="6"/>
        <v>7</v>
      </c>
      <c r="P77" s="25">
        <f t="shared" si="6"/>
        <v>6</v>
      </c>
      <c r="Q77" s="25">
        <f t="shared" si="6"/>
        <v>6</v>
      </c>
      <c r="R77" s="25">
        <f>COUNTIF(R9:R60,2)</f>
        <v>5</v>
      </c>
      <c r="S77" s="25">
        <f>COUNTIF(S9:S65,2)</f>
        <v>3</v>
      </c>
      <c r="T77" s="25">
        <f>COUNTIF(T9:T65,2)</f>
        <v>0</v>
      </c>
      <c r="U77" s="25">
        <f>COUNTIF(U9:U65,2)</f>
        <v>0</v>
      </c>
      <c r="V77" s="25">
        <f>SUM(B77:U77)</f>
        <v>59</v>
      </c>
    </row>
    <row r="78" spans="1:23" ht="17.25" customHeight="1">
      <c r="A78" s="20">
        <v>1</v>
      </c>
      <c r="B78" s="25">
        <f t="shared" ref="B78:Q78" si="7">COUNTIF(B9:B65,1)</f>
        <v>1</v>
      </c>
      <c r="C78" s="25">
        <f t="shared" si="7"/>
        <v>1</v>
      </c>
      <c r="D78" s="25">
        <f t="shared" si="7"/>
        <v>1</v>
      </c>
      <c r="E78" s="25">
        <f t="shared" si="7"/>
        <v>4</v>
      </c>
      <c r="F78" s="25">
        <f t="shared" si="7"/>
        <v>3</v>
      </c>
      <c r="G78" s="25">
        <f t="shared" si="7"/>
        <v>4</v>
      </c>
      <c r="H78" s="25">
        <f t="shared" si="7"/>
        <v>3</v>
      </c>
      <c r="I78" s="25">
        <f t="shared" si="7"/>
        <v>6</v>
      </c>
      <c r="J78" s="25">
        <f t="shared" si="7"/>
        <v>5</v>
      </c>
      <c r="K78" s="25">
        <f t="shared" si="7"/>
        <v>6</v>
      </c>
      <c r="L78" s="25">
        <f t="shared" si="7"/>
        <v>4</v>
      </c>
      <c r="M78" s="25">
        <f t="shared" si="7"/>
        <v>5</v>
      </c>
      <c r="N78" s="25">
        <f t="shared" si="7"/>
        <v>4</v>
      </c>
      <c r="O78" s="25">
        <f t="shared" si="7"/>
        <v>3</v>
      </c>
      <c r="P78" s="25">
        <f t="shared" si="7"/>
        <v>3</v>
      </c>
      <c r="Q78" s="25">
        <f t="shared" si="7"/>
        <v>2</v>
      </c>
      <c r="R78" s="25">
        <f>COUNTIF(R9:R60,1)</f>
        <v>2</v>
      </c>
      <c r="S78" s="25">
        <f>COUNTIF(S9:S65,1)</f>
        <v>2</v>
      </c>
      <c r="T78" s="25">
        <f>COUNTIF(T9:T65,1)</f>
        <v>2</v>
      </c>
      <c r="U78" s="25">
        <f>COUNTIF(U9:U65,1)</f>
        <v>1</v>
      </c>
      <c r="V78" s="25">
        <f>SUM(B78:U78)</f>
        <v>62</v>
      </c>
    </row>
    <row r="79" spans="1:23" ht="15.75">
      <c r="A79" s="26"/>
      <c r="B79" s="26"/>
      <c r="C79" s="26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27"/>
    </row>
    <row r="80" spans="1:23" s="28" customForma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27" customHeight="1">
      <c r="A81" s="96" t="s">
        <v>9</v>
      </c>
      <c r="B81" s="97"/>
      <c r="C81" s="98"/>
      <c r="D81" s="77">
        <v>4.1578947368421098</v>
      </c>
      <c r="E81" s="77">
        <v>4.2105263157894699</v>
      </c>
      <c r="F81" s="77">
        <v>4.1929824561403501</v>
      </c>
      <c r="G81" s="77">
        <v>3.9298245614035099</v>
      </c>
      <c r="H81" s="77">
        <v>3.9122807017543901</v>
      </c>
    </row>
    <row r="82" spans="1:22" ht="28.5" customHeight="1">
      <c r="A82" s="96" t="s">
        <v>10</v>
      </c>
      <c r="B82" s="97"/>
      <c r="C82" s="98"/>
      <c r="D82" s="78">
        <v>3.8421052631578898</v>
      </c>
      <c r="E82" s="78">
        <v>4</v>
      </c>
      <c r="F82" s="78">
        <v>3.8596491228070202</v>
      </c>
      <c r="G82" s="78">
        <v>3.7894736842105301</v>
      </c>
      <c r="H82" s="78">
        <v>3.7719298245614001</v>
      </c>
    </row>
    <row r="83" spans="1:22" ht="30.75" customHeight="1">
      <c r="A83" s="96" t="s">
        <v>14</v>
      </c>
      <c r="B83" s="97"/>
      <c r="C83" s="98"/>
      <c r="D83" s="78">
        <v>3.9298245614035099</v>
      </c>
      <c r="E83" s="78">
        <v>4</v>
      </c>
      <c r="F83" s="78">
        <v>4.1403508771929802</v>
      </c>
      <c r="G83" s="78">
        <v>4.0701754385964897</v>
      </c>
      <c r="H83" s="78">
        <v>3.9473684210526301</v>
      </c>
    </row>
    <row r="84" spans="1:22" ht="30" customHeight="1">
      <c r="A84" s="96" t="s">
        <v>12</v>
      </c>
      <c r="B84" s="97"/>
      <c r="C84" s="98"/>
      <c r="D84" s="78">
        <v>4.0877192982456103</v>
      </c>
      <c r="E84" s="78">
        <v>4.0701754385964897</v>
      </c>
      <c r="F84" s="78">
        <v>4.2456140350877201</v>
      </c>
      <c r="G84" s="78">
        <v>4.3333333333333304</v>
      </c>
      <c r="H84" s="78">
        <v>4.47</v>
      </c>
    </row>
    <row r="93" spans="1:22" s="4" customFormat="1" ht="15.75">
      <c r="A93" s="30" t="s">
        <v>15</v>
      </c>
      <c r="B93" s="30"/>
      <c r="C93" s="30"/>
      <c r="D93" s="30"/>
      <c r="E93" s="30"/>
      <c r="F93" s="30"/>
      <c r="G93" s="30"/>
      <c r="H93" s="30"/>
      <c r="I93" s="30"/>
      <c r="J93" s="30" t="s">
        <v>16</v>
      </c>
      <c r="K93" s="30"/>
      <c r="L93" s="30"/>
      <c r="M93" s="30"/>
      <c r="N93" s="30"/>
      <c r="O93" s="30"/>
      <c r="P93" s="30"/>
      <c r="Q93" s="30"/>
      <c r="R93" s="30"/>
      <c r="S93" s="30"/>
      <c r="T93" s="30" t="s">
        <v>17</v>
      </c>
      <c r="U93" s="30"/>
      <c r="V93" s="30"/>
    </row>
  </sheetData>
  <mergeCells count="14">
    <mergeCell ref="A72:V72"/>
    <mergeCell ref="A81:C81"/>
    <mergeCell ref="A82:C82"/>
    <mergeCell ref="A83:C83"/>
    <mergeCell ref="A84:C84"/>
    <mergeCell ref="A4:V4"/>
    <mergeCell ref="A5:V5"/>
    <mergeCell ref="F6:P6"/>
    <mergeCell ref="B70:F70"/>
    <mergeCell ref="G70:K70"/>
    <mergeCell ref="L70:P70"/>
    <mergeCell ref="Q70:U70"/>
    <mergeCell ref="A69:A71"/>
    <mergeCell ref="V69:V70"/>
  </mergeCells>
  <pageMargins left="0.70866141732283505" right="0.27" top="0.26" bottom="0.196850393700787" header="0.23" footer="0.2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4:W95"/>
  <sheetViews>
    <sheetView topLeftCell="A42" workbookViewId="0">
      <selection activeCell="G88" sqref="G88"/>
    </sheetView>
  </sheetViews>
  <sheetFormatPr defaultColWidth="9" defaultRowHeight="15"/>
  <cols>
    <col min="1" max="22" width="8.5703125" customWidth="1"/>
    <col min="23" max="23" width="7.28515625" customWidth="1"/>
  </cols>
  <sheetData>
    <row r="4" spans="1:22" ht="26.2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1:22" ht="19.5">
      <c r="A5" s="105" t="s">
        <v>0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</row>
    <row r="6" spans="1:22" ht="20.25">
      <c r="A6" s="45" t="s">
        <v>1</v>
      </c>
      <c r="B6" s="45"/>
      <c r="C6" s="45"/>
      <c r="D6" s="45"/>
      <c r="E6" s="45"/>
      <c r="F6" s="106" t="s">
        <v>2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45"/>
      <c r="R6" s="45"/>
      <c r="S6" s="45"/>
      <c r="T6" s="45"/>
      <c r="U6" s="45"/>
      <c r="V6" s="45"/>
    </row>
    <row r="7" spans="1:22" ht="16.5">
      <c r="A7" s="46" t="s">
        <v>29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7"/>
      <c r="M7" s="46"/>
      <c r="N7" s="46"/>
      <c r="O7" s="46"/>
      <c r="P7" s="46"/>
      <c r="Q7" s="48" t="s">
        <v>32</v>
      </c>
      <c r="R7" s="48" t="s">
        <v>33</v>
      </c>
      <c r="S7" s="48"/>
      <c r="T7" s="48"/>
      <c r="U7" s="49"/>
      <c r="V7" s="46"/>
    </row>
    <row r="8" spans="1:22" ht="15.75" customHeight="1">
      <c r="A8" s="50" t="s">
        <v>5</v>
      </c>
      <c r="B8" s="51">
        <v>1.1000000000000001</v>
      </c>
      <c r="C8" s="51">
        <v>1.2</v>
      </c>
      <c r="D8" s="51">
        <v>1.3</v>
      </c>
      <c r="E8" s="51">
        <v>1.4</v>
      </c>
      <c r="F8" s="51">
        <v>1.5</v>
      </c>
      <c r="G8" s="51">
        <v>2.1</v>
      </c>
      <c r="H8" s="51">
        <v>2.2000000000000002</v>
      </c>
      <c r="I8" s="51">
        <v>2.2999999999999998</v>
      </c>
      <c r="J8" s="51">
        <v>2.4</v>
      </c>
      <c r="K8" s="51">
        <v>2.5</v>
      </c>
      <c r="L8" s="51">
        <v>3.1</v>
      </c>
      <c r="M8" s="51">
        <v>3.2</v>
      </c>
      <c r="N8" s="51">
        <v>3.3</v>
      </c>
      <c r="O8" s="51">
        <v>3.4</v>
      </c>
      <c r="P8" s="51">
        <v>3.5</v>
      </c>
      <c r="Q8" s="51">
        <v>4.0999999999999996</v>
      </c>
      <c r="R8" s="51">
        <v>4.2</v>
      </c>
      <c r="S8" s="51">
        <v>4.3</v>
      </c>
      <c r="T8" s="51">
        <v>4.4000000000000004</v>
      </c>
      <c r="U8" s="51">
        <v>4.5</v>
      </c>
      <c r="V8" s="52" t="s">
        <v>6</v>
      </c>
    </row>
    <row r="9" spans="1:22" ht="15.75" customHeight="1">
      <c r="A9" s="53">
        <v>1</v>
      </c>
      <c r="B9" s="54">
        <v>4</v>
      </c>
      <c r="C9" s="54">
        <v>4</v>
      </c>
      <c r="D9" s="54">
        <v>5</v>
      </c>
      <c r="E9" s="54">
        <v>4</v>
      </c>
      <c r="F9" s="54">
        <v>5</v>
      </c>
      <c r="G9" s="54">
        <v>4</v>
      </c>
      <c r="H9" s="54">
        <v>5</v>
      </c>
      <c r="I9" s="54">
        <v>4</v>
      </c>
      <c r="J9" s="54">
        <v>5</v>
      </c>
      <c r="K9" s="54">
        <v>4</v>
      </c>
      <c r="L9" s="54">
        <v>5</v>
      </c>
      <c r="M9" s="54">
        <v>4</v>
      </c>
      <c r="N9" s="54">
        <v>5</v>
      </c>
      <c r="O9" s="54">
        <v>4</v>
      </c>
      <c r="P9" s="54">
        <v>5</v>
      </c>
      <c r="Q9" s="54">
        <v>5</v>
      </c>
      <c r="R9" s="54">
        <v>4</v>
      </c>
      <c r="S9" s="54">
        <v>5</v>
      </c>
      <c r="T9" s="54">
        <v>4</v>
      </c>
      <c r="U9" s="54">
        <v>4</v>
      </c>
      <c r="V9" s="54">
        <f>SUM(B9:U9)</f>
        <v>89</v>
      </c>
    </row>
    <row r="10" spans="1:22" ht="15.75" customHeight="1">
      <c r="A10" s="53">
        <v>2</v>
      </c>
      <c r="B10" s="54">
        <v>5</v>
      </c>
      <c r="C10" s="54">
        <v>5</v>
      </c>
      <c r="D10" s="54">
        <v>5</v>
      </c>
      <c r="E10" s="54">
        <v>5</v>
      </c>
      <c r="F10" s="54">
        <v>5</v>
      </c>
      <c r="G10" s="54">
        <v>5</v>
      </c>
      <c r="H10" s="54">
        <v>5</v>
      </c>
      <c r="I10" s="54">
        <v>5</v>
      </c>
      <c r="J10" s="54">
        <v>5</v>
      </c>
      <c r="K10" s="54">
        <v>5</v>
      </c>
      <c r="L10" s="54">
        <v>5</v>
      </c>
      <c r="M10" s="54">
        <v>5</v>
      </c>
      <c r="N10" s="54">
        <v>5</v>
      </c>
      <c r="O10" s="54">
        <v>5</v>
      </c>
      <c r="P10" s="54">
        <v>5</v>
      </c>
      <c r="Q10" s="54">
        <v>5</v>
      </c>
      <c r="R10" s="54">
        <v>5</v>
      </c>
      <c r="S10" s="54">
        <v>5</v>
      </c>
      <c r="T10" s="54">
        <v>5</v>
      </c>
      <c r="U10" s="54">
        <v>5</v>
      </c>
      <c r="V10" s="54">
        <f t="shared" ref="V10:V41" si="0">SUM(B10:U10)</f>
        <v>100</v>
      </c>
    </row>
    <row r="11" spans="1:22" ht="15.75" customHeight="1">
      <c r="A11" s="53">
        <v>3</v>
      </c>
      <c r="B11" s="54">
        <v>1</v>
      </c>
      <c r="C11" s="54">
        <v>2</v>
      </c>
      <c r="D11" s="54">
        <v>1</v>
      </c>
      <c r="E11" s="54">
        <v>3</v>
      </c>
      <c r="F11" s="54">
        <v>3</v>
      </c>
      <c r="G11" s="54">
        <v>3</v>
      </c>
      <c r="H11" s="54">
        <v>2</v>
      </c>
      <c r="I11" s="54">
        <v>3</v>
      </c>
      <c r="J11" s="54">
        <v>2</v>
      </c>
      <c r="K11" s="54">
        <v>1</v>
      </c>
      <c r="L11" s="54">
        <v>4</v>
      </c>
      <c r="M11" s="54">
        <v>3</v>
      </c>
      <c r="N11" s="54">
        <v>3</v>
      </c>
      <c r="O11" s="54">
        <v>3</v>
      </c>
      <c r="P11" s="54">
        <v>3</v>
      </c>
      <c r="Q11" s="54">
        <v>3</v>
      </c>
      <c r="R11" s="54">
        <v>3</v>
      </c>
      <c r="S11" s="54">
        <v>3</v>
      </c>
      <c r="T11" s="54">
        <v>3</v>
      </c>
      <c r="U11" s="54">
        <v>3</v>
      </c>
      <c r="V11" s="54">
        <f t="shared" si="0"/>
        <v>52</v>
      </c>
    </row>
    <row r="12" spans="1:22" ht="15.75" customHeight="1">
      <c r="A12" s="53">
        <v>4</v>
      </c>
      <c r="B12" s="54">
        <v>5</v>
      </c>
      <c r="C12" s="54">
        <v>4</v>
      </c>
      <c r="D12" s="54">
        <v>5</v>
      </c>
      <c r="E12" s="54">
        <v>5</v>
      </c>
      <c r="F12" s="54">
        <v>4</v>
      </c>
      <c r="G12" s="54">
        <v>5</v>
      </c>
      <c r="H12" s="54">
        <v>5</v>
      </c>
      <c r="I12" s="54">
        <v>5</v>
      </c>
      <c r="J12" s="54">
        <v>5</v>
      </c>
      <c r="K12" s="54">
        <v>4</v>
      </c>
      <c r="L12" s="54">
        <v>5</v>
      </c>
      <c r="M12" s="54">
        <v>5</v>
      </c>
      <c r="N12" s="54">
        <v>4</v>
      </c>
      <c r="O12" s="54">
        <v>5</v>
      </c>
      <c r="P12" s="54">
        <v>5</v>
      </c>
      <c r="Q12" s="54">
        <v>5</v>
      </c>
      <c r="R12" s="54">
        <v>5</v>
      </c>
      <c r="S12" s="54">
        <v>5</v>
      </c>
      <c r="T12" s="54">
        <v>5</v>
      </c>
      <c r="U12" s="54">
        <v>4</v>
      </c>
      <c r="V12" s="54">
        <f t="shared" si="0"/>
        <v>95</v>
      </c>
    </row>
    <row r="13" spans="1:22" ht="15.75" customHeight="1">
      <c r="A13" s="53">
        <v>5</v>
      </c>
      <c r="B13" s="54">
        <v>4</v>
      </c>
      <c r="C13" s="54">
        <v>4</v>
      </c>
      <c r="D13" s="54">
        <v>4</v>
      </c>
      <c r="E13" s="54">
        <v>4</v>
      </c>
      <c r="F13" s="54">
        <v>5</v>
      </c>
      <c r="G13" s="54">
        <v>4</v>
      </c>
      <c r="H13" s="54">
        <v>4</v>
      </c>
      <c r="I13" s="54">
        <v>4</v>
      </c>
      <c r="J13" s="54">
        <v>4</v>
      </c>
      <c r="K13" s="54">
        <v>4</v>
      </c>
      <c r="L13" s="54">
        <v>4</v>
      </c>
      <c r="M13" s="54">
        <v>4</v>
      </c>
      <c r="N13" s="54">
        <v>4</v>
      </c>
      <c r="O13" s="54">
        <v>4</v>
      </c>
      <c r="P13" s="54">
        <v>4</v>
      </c>
      <c r="Q13" s="54">
        <v>5</v>
      </c>
      <c r="R13" s="54">
        <v>4</v>
      </c>
      <c r="S13" s="54">
        <v>4</v>
      </c>
      <c r="T13" s="54">
        <v>4</v>
      </c>
      <c r="U13" s="54">
        <v>4</v>
      </c>
      <c r="V13" s="54">
        <f t="shared" si="0"/>
        <v>82</v>
      </c>
    </row>
    <row r="14" spans="1:22" ht="15.75" customHeight="1">
      <c r="A14" s="53">
        <v>6</v>
      </c>
      <c r="B14" s="54">
        <v>3</v>
      </c>
      <c r="C14" s="54">
        <v>3</v>
      </c>
      <c r="D14" s="54">
        <v>3</v>
      </c>
      <c r="E14" s="54">
        <v>4</v>
      </c>
      <c r="F14" s="54">
        <v>3</v>
      </c>
      <c r="G14" s="54">
        <v>3</v>
      </c>
      <c r="H14" s="54">
        <v>2</v>
      </c>
      <c r="I14" s="54">
        <v>3</v>
      </c>
      <c r="J14" s="54">
        <v>3</v>
      </c>
      <c r="K14" s="54">
        <v>5</v>
      </c>
      <c r="L14" s="54">
        <v>4</v>
      </c>
      <c r="M14" s="54">
        <v>3</v>
      </c>
      <c r="N14" s="54">
        <v>4</v>
      </c>
      <c r="O14" s="54">
        <v>5</v>
      </c>
      <c r="P14" s="54">
        <v>3</v>
      </c>
      <c r="Q14" s="54">
        <v>2</v>
      </c>
      <c r="R14" s="54">
        <v>3</v>
      </c>
      <c r="S14" s="54">
        <v>5</v>
      </c>
      <c r="T14" s="54">
        <v>4</v>
      </c>
      <c r="U14" s="54">
        <v>3</v>
      </c>
      <c r="V14" s="54">
        <f t="shared" si="0"/>
        <v>68</v>
      </c>
    </row>
    <row r="15" spans="1:22" ht="15.75" customHeight="1">
      <c r="A15" s="53">
        <v>7</v>
      </c>
      <c r="B15" s="54">
        <v>5</v>
      </c>
      <c r="C15" s="54">
        <v>5</v>
      </c>
      <c r="D15" s="54">
        <v>5</v>
      </c>
      <c r="E15" s="54">
        <v>5</v>
      </c>
      <c r="F15" s="54">
        <v>5</v>
      </c>
      <c r="G15" s="54">
        <v>5</v>
      </c>
      <c r="H15" s="54">
        <v>5</v>
      </c>
      <c r="I15" s="54">
        <v>5</v>
      </c>
      <c r="J15" s="54">
        <v>5</v>
      </c>
      <c r="K15" s="54">
        <v>5</v>
      </c>
      <c r="L15" s="54">
        <v>5</v>
      </c>
      <c r="M15" s="54">
        <v>5</v>
      </c>
      <c r="N15" s="54">
        <v>5</v>
      </c>
      <c r="O15" s="54">
        <v>5</v>
      </c>
      <c r="P15" s="54">
        <v>5</v>
      </c>
      <c r="Q15" s="54">
        <v>5</v>
      </c>
      <c r="R15" s="54">
        <v>5</v>
      </c>
      <c r="S15" s="54">
        <v>5</v>
      </c>
      <c r="T15" s="54">
        <v>5</v>
      </c>
      <c r="U15" s="54">
        <v>5</v>
      </c>
      <c r="V15" s="54">
        <f t="shared" si="0"/>
        <v>100</v>
      </c>
    </row>
    <row r="16" spans="1:22" ht="15.75" customHeight="1">
      <c r="A16" s="53">
        <v>8</v>
      </c>
      <c r="B16" s="54">
        <v>5</v>
      </c>
      <c r="C16" s="54">
        <v>5</v>
      </c>
      <c r="D16" s="54">
        <v>5</v>
      </c>
      <c r="E16" s="54">
        <v>5</v>
      </c>
      <c r="F16" s="54">
        <v>5</v>
      </c>
      <c r="G16" s="54">
        <v>5</v>
      </c>
      <c r="H16" s="54">
        <v>5</v>
      </c>
      <c r="I16" s="54">
        <v>5</v>
      </c>
      <c r="J16" s="54">
        <v>5</v>
      </c>
      <c r="K16" s="54">
        <v>5</v>
      </c>
      <c r="L16" s="54">
        <v>5</v>
      </c>
      <c r="M16" s="54">
        <v>5</v>
      </c>
      <c r="N16" s="54">
        <v>5</v>
      </c>
      <c r="O16" s="54">
        <v>5</v>
      </c>
      <c r="P16" s="54">
        <v>5</v>
      </c>
      <c r="Q16" s="54">
        <v>5</v>
      </c>
      <c r="R16" s="54">
        <v>5</v>
      </c>
      <c r="S16" s="54">
        <v>5</v>
      </c>
      <c r="T16" s="54">
        <v>5</v>
      </c>
      <c r="U16" s="54">
        <v>5</v>
      </c>
      <c r="V16" s="54">
        <f t="shared" si="0"/>
        <v>100</v>
      </c>
    </row>
    <row r="17" spans="1:22" ht="15.75" customHeight="1">
      <c r="A17" s="53">
        <v>9</v>
      </c>
      <c r="B17" s="54">
        <v>4</v>
      </c>
      <c r="C17" s="54">
        <v>4</v>
      </c>
      <c r="D17" s="54">
        <v>4</v>
      </c>
      <c r="E17" s="54">
        <v>4</v>
      </c>
      <c r="F17" s="54">
        <v>4</v>
      </c>
      <c r="G17" s="54">
        <v>4</v>
      </c>
      <c r="H17" s="54">
        <v>4</v>
      </c>
      <c r="I17" s="54">
        <v>4</v>
      </c>
      <c r="J17" s="54">
        <v>4</v>
      </c>
      <c r="K17" s="54">
        <v>4</v>
      </c>
      <c r="L17" s="54">
        <v>4</v>
      </c>
      <c r="M17" s="54">
        <v>4</v>
      </c>
      <c r="N17" s="54">
        <v>4</v>
      </c>
      <c r="O17" s="54">
        <v>4</v>
      </c>
      <c r="P17" s="54">
        <v>4</v>
      </c>
      <c r="Q17" s="54">
        <v>4</v>
      </c>
      <c r="R17" s="54">
        <v>4</v>
      </c>
      <c r="S17" s="54">
        <v>4</v>
      </c>
      <c r="T17" s="54">
        <v>4</v>
      </c>
      <c r="U17" s="54">
        <v>4</v>
      </c>
      <c r="V17" s="54">
        <f t="shared" si="0"/>
        <v>80</v>
      </c>
    </row>
    <row r="18" spans="1:22" ht="15.75" customHeight="1">
      <c r="A18" s="53">
        <v>10</v>
      </c>
      <c r="B18" s="54">
        <v>5</v>
      </c>
      <c r="C18" s="54">
        <v>5</v>
      </c>
      <c r="D18" s="54">
        <v>5</v>
      </c>
      <c r="E18" s="54">
        <v>5</v>
      </c>
      <c r="F18" s="54">
        <v>5</v>
      </c>
      <c r="G18" s="54">
        <v>5</v>
      </c>
      <c r="H18" s="54">
        <v>5</v>
      </c>
      <c r="I18" s="54">
        <v>5</v>
      </c>
      <c r="J18" s="54">
        <v>5</v>
      </c>
      <c r="K18" s="54">
        <v>5</v>
      </c>
      <c r="L18" s="54">
        <v>5</v>
      </c>
      <c r="M18" s="54">
        <v>5</v>
      </c>
      <c r="N18" s="54">
        <v>5</v>
      </c>
      <c r="O18" s="54">
        <v>5</v>
      </c>
      <c r="P18" s="54">
        <v>5</v>
      </c>
      <c r="Q18" s="54">
        <v>5</v>
      </c>
      <c r="R18" s="54">
        <v>5</v>
      </c>
      <c r="S18" s="54">
        <v>5</v>
      </c>
      <c r="T18" s="54">
        <v>5</v>
      </c>
      <c r="U18" s="54">
        <v>5</v>
      </c>
      <c r="V18" s="54">
        <f t="shared" si="0"/>
        <v>100</v>
      </c>
    </row>
    <row r="19" spans="1:22" ht="15.75" customHeight="1">
      <c r="A19" s="53">
        <v>11</v>
      </c>
      <c r="B19" s="54">
        <v>4</v>
      </c>
      <c r="C19" s="54">
        <v>5</v>
      </c>
      <c r="D19" s="54">
        <v>5</v>
      </c>
      <c r="E19" s="54">
        <v>4</v>
      </c>
      <c r="F19" s="54">
        <v>4</v>
      </c>
      <c r="G19" s="54">
        <v>5</v>
      </c>
      <c r="H19" s="54">
        <v>5</v>
      </c>
      <c r="I19" s="54">
        <v>4</v>
      </c>
      <c r="J19" s="54">
        <v>4</v>
      </c>
      <c r="K19" s="54">
        <v>4</v>
      </c>
      <c r="L19" s="54">
        <v>4</v>
      </c>
      <c r="M19" s="54">
        <v>4</v>
      </c>
      <c r="N19" s="54">
        <v>4</v>
      </c>
      <c r="O19" s="54">
        <v>4</v>
      </c>
      <c r="P19" s="54">
        <v>4</v>
      </c>
      <c r="Q19" s="54">
        <v>5</v>
      </c>
      <c r="R19" s="54">
        <v>4</v>
      </c>
      <c r="S19" s="54">
        <v>4</v>
      </c>
      <c r="T19" s="54">
        <v>5</v>
      </c>
      <c r="U19" s="54">
        <v>4</v>
      </c>
      <c r="V19" s="54">
        <f t="shared" si="0"/>
        <v>86</v>
      </c>
    </row>
    <row r="20" spans="1:22" ht="15.75" customHeight="1">
      <c r="A20" s="53">
        <v>12</v>
      </c>
      <c r="B20" s="54">
        <v>5</v>
      </c>
      <c r="C20" s="54">
        <v>5</v>
      </c>
      <c r="D20" s="54">
        <v>5</v>
      </c>
      <c r="E20" s="54">
        <v>5</v>
      </c>
      <c r="F20" s="54">
        <v>5</v>
      </c>
      <c r="G20" s="54">
        <v>5</v>
      </c>
      <c r="H20" s="54">
        <v>5</v>
      </c>
      <c r="I20" s="54">
        <v>5</v>
      </c>
      <c r="J20" s="54">
        <v>5</v>
      </c>
      <c r="K20" s="54">
        <v>5</v>
      </c>
      <c r="L20" s="54">
        <v>5</v>
      </c>
      <c r="M20" s="54">
        <v>5</v>
      </c>
      <c r="N20" s="54">
        <v>5</v>
      </c>
      <c r="O20" s="54">
        <v>5</v>
      </c>
      <c r="P20" s="54">
        <v>5</v>
      </c>
      <c r="Q20" s="54">
        <v>5</v>
      </c>
      <c r="R20" s="54">
        <v>5</v>
      </c>
      <c r="S20" s="54">
        <v>5</v>
      </c>
      <c r="T20" s="54">
        <v>5</v>
      </c>
      <c r="U20" s="54">
        <v>5</v>
      </c>
      <c r="V20" s="54">
        <f t="shared" si="0"/>
        <v>100</v>
      </c>
    </row>
    <row r="21" spans="1:22" ht="15.75" customHeight="1">
      <c r="A21" s="53">
        <v>13</v>
      </c>
      <c r="B21" s="54">
        <v>4</v>
      </c>
      <c r="C21" s="54">
        <v>4</v>
      </c>
      <c r="D21" s="54">
        <v>4</v>
      </c>
      <c r="E21" s="54">
        <v>4</v>
      </c>
      <c r="F21" s="54">
        <v>4</v>
      </c>
      <c r="G21" s="54">
        <v>4</v>
      </c>
      <c r="H21" s="54">
        <v>5</v>
      </c>
      <c r="I21" s="54">
        <v>4</v>
      </c>
      <c r="J21" s="54">
        <v>4</v>
      </c>
      <c r="K21" s="54">
        <v>4</v>
      </c>
      <c r="L21" s="54">
        <v>4</v>
      </c>
      <c r="M21" s="54">
        <v>4</v>
      </c>
      <c r="N21" s="54">
        <v>4</v>
      </c>
      <c r="O21" s="54">
        <v>4</v>
      </c>
      <c r="P21" s="54">
        <v>4</v>
      </c>
      <c r="Q21" s="54">
        <v>4</v>
      </c>
      <c r="R21" s="54">
        <v>4</v>
      </c>
      <c r="S21" s="54">
        <v>5</v>
      </c>
      <c r="T21" s="54">
        <v>4</v>
      </c>
      <c r="U21" s="54">
        <v>5</v>
      </c>
      <c r="V21" s="54">
        <f t="shared" si="0"/>
        <v>83</v>
      </c>
    </row>
    <row r="22" spans="1:22" ht="15.75" customHeight="1">
      <c r="A22" s="53">
        <v>14</v>
      </c>
      <c r="B22" s="54">
        <v>5</v>
      </c>
      <c r="C22" s="54">
        <v>5</v>
      </c>
      <c r="D22" s="54">
        <v>5</v>
      </c>
      <c r="E22" s="54">
        <v>5</v>
      </c>
      <c r="F22" s="54">
        <v>5</v>
      </c>
      <c r="G22" s="54">
        <v>5</v>
      </c>
      <c r="H22" s="54">
        <v>5</v>
      </c>
      <c r="I22" s="54">
        <v>5</v>
      </c>
      <c r="J22" s="54">
        <v>5</v>
      </c>
      <c r="K22" s="54">
        <v>5</v>
      </c>
      <c r="L22" s="54">
        <v>5</v>
      </c>
      <c r="M22" s="54">
        <v>5</v>
      </c>
      <c r="N22" s="54">
        <v>5</v>
      </c>
      <c r="O22" s="54">
        <v>5</v>
      </c>
      <c r="P22" s="54">
        <v>5</v>
      </c>
      <c r="Q22" s="54">
        <v>5</v>
      </c>
      <c r="R22" s="54">
        <v>5</v>
      </c>
      <c r="S22" s="54">
        <v>5</v>
      </c>
      <c r="T22" s="54">
        <v>5</v>
      </c>
      <c r="U22" s="54">
        <v>5</v>
      </c>
      <c r="V22" s="54">
        <f t="shared" si="0"/>
        <v>100</v>
      </c>
    </row>
    <row r="23" spans="1:22" ht="15.75" customHeight="1">
      <c r="A23" s="53">
        <v>15</v>
      </c>
      <c r="B23" s="54">
        <v>4</v>
      </c>
      <c r="C23" s="54">
        <v>5</v>
      </c>
      <c r="D23" s="54">
        <v>4</v>
      </c>
      <c r="E23" s="54">
        <v>5</v>
      </c>
      <c r="F23" s="54">
        <v>5</v>
      </c>
      <c r="G23" s="54">
        <v>5</v>
      </c>
      <c r="H23" s="54">
        <v>5</v>
      </c>
      <c r="I23" s="54">
        <v>5</v>
      </c>
      <c r="J23" s="54">
        <v>4</v>
      </c>
      <c r="K23" s="54">
        <v>5</v>
      </c>
      <c r="L23" s="54">
        <v>4</v>
      </c>
      <c r="M23" s="54">
        <v>4</v>
      </c>
      <c r="N23" s="54">
        <v>4</v>
      </c>
      <c r="O23" s="54">
        <v>5</v>
      </c>
      <c r="P23" s="54">
        <v>5</v>
      </c>
      <c r="Q23" s="54">
        <v>5</v>
      </c>
      <c r="R23" s="54">
        <v>4</v>
      </c>
      <c r="S23" s="54">
        <v>4</v>
      </c>
      <c r="T23" s="54">
        <v>4</v>
      </c>
      <c r="U23" s="54">
        <v>4</v>
      </c>
      <c r="V23" s="54">
        <f t="shared" si="0"/>
        <v>90</v>
      </c>
    </row>
    <row r="24" spans="1:22" ht="15.75" customHeight="1">
      <c r="A24" s="53">
        <v>16</v>
      </c>
      <c r="B24" s="54">
        <v>5</v>
      </c>
      <c r="C24" s="54">
        <v>5</v>
      </c>
      <c r="D24" s="54">
        <v>5</v>
      </c>
      <c r="E24" s="54">
        <v>5</v>
      </c>
      <c r="F24" s="54">
        <v>5</v>
      </c>
      <c r="G24" s="54">
        <v>5</v>
      </c>
      <c r="H24" s="54">
        <v>5</v>
      </c>
      <c r="I24" s="54">
        <v>5</v>
      </c>
      <c r="J24" s="54">
        <v>5</v>
      </c>
      <c r="K24" s="54">
        <v>5</v>
      </c>
      <c r="L24" s="54">
        <v>5</v>
      </c>
      <c r="M24" s="54">
        <v>4</v>
      </c>
      <c r="N24" s="54">
        <v>4</v>
      </c>
      <c r="O24" s="54">
        <v>3</v>
      </c>
      <c r="P24" s="54">
        <v>3</v>
      </c>
      <c r="Q24" s="54">
        <v>4</v>
      </c>
      <c r="R24" s="54">
        <v>2</v>
      </c>
      <c r="S24" s="54">
        <v>5</v>
      </c>
      <c r="T24" s="54">
        <v>4</v>
      </c>
      <c r="U24" s="54">
        <v>3</v>
      </c>
      <c r="V24" s="54">
        <f t="shared" si="0"/>
        <v>87</v>
      </c>
    </row>
    <row r="25" spans="1:22" ht="15.75" customHeight="1">
      <c r="A25" s="53">
        <v>17</v>
      </c>
      <c r="B25" s="54">
        <v>5</v>
      </c>
      <c r="C25" s="54">
        <v>5</v>
      </c>
      <c r="D25" s="54">
        <v>5</v>
      </c>
      <c r="E25" s="54">
        <v>5</v>
      </c>
      <c r="F25" s="54">
        <v>5</v>
      </c>
      <c r="G25" s="54">
        <v>5</v>
      </c>
      <c r="H25" s="54">
        <v>5</v>
      </c>
      <c r="I25" s="54">
        <v>5</v>
      </c>
      <c r="J25" s="54">
        <v>5</v>
      </c>
      <c r="K25" s="54">
        <v>5</v>
      </c>
      <c r="L25" s="54">
        <v>5</v>
      </c>
      <c r="M25" s="54">
        <v>5</v>
      </c>
      <c r="N25" s="54">
        <v>5</v>
      </c>
      <c r="O25" s="54">
        <v>5</v>
      </c>
      <c r="P25" s="54">
        <v>5</v>
      </c>
      <c r="Q25" s="54">
        <v>5</v>
      </c>
      <c r="R25" s="54">
        <v>5</v>
      </c>
      <c r="S25" s="54">
        <v>5</v>
      </c>
      <c r="T25" s="54">
        <v>5</v>
      </c>
      <c r="U25" s="54">
        <v>5</v>
      </c>
      <c r="V25" s="54">
        <f t="shared" si="0"/>
        <v>100</v>
      </c>
    </row>
    <row r="26" spans="1:22" ht="15.75" customHeight="1">
      <c r="A26" s="53">
        <v>18</v>
      </c>
      <c r="B26" s="54">
        <v>5</v>
      </c>
      <c r="C26" s="54">
        <v>5</v>
      </c>
      <c r="D26" s="54">
        <v>5</v>
      </c>
      <c r="E26" s="54">
        <v>5</v>
      </c>
      <c r="F26" s="54">
        <v>5</v>
      </c>
      <c r="G26" s="54">
        <v>5</v>
      </c>
      <c r="H26" s="54">
        <v>5</v>
      </c>
      <c r="I26" s="54">
        <v>5</v>
      </c>
      <c r="J26" s="54">
        <v>5</v>
      </c>
      <c r="K26" s="54">
        <v>5</v>
      </c>
      <c r="L26" s="54">
        <v>5</v>
      </c>
      <c r="M26" s="54">
        <v>5</v>
      </c>
      <c r="N26" s="54">
        <v>5</v>
      </c>
      <c r="O26" s="54">
        <v>5</v>
      </c>
      <c r="P26" s="54">
        <v>5</v>
      </c>
      <c r="Q26" s="54">
        <v>5</v>
      </c>
      <c r="R26" s="54">
        <v>5</v>
      </c>
      <c r="S26" s="54">
        <v>5</v>
      </c>
      <c r="T26" s="54">
        <v>4</v>
      </c>
      <c r="U26" s="54">
        <v>4</v>
      </c>
      <c r="V26" s="54">
        <f t="shared" si="0"/>
        <v>98</v>
      </c>
    </row>
    <row r="27" spans="1:22" ht="15.75" customHeight="1">
      <c r="A27" s="53">
        <v>19</v>
      </c>
      <c r="B27" s="54">
        <v>5</v>
      </c>
      <c r="C27" s="54">
        <v>5</v>
      </c>
      <c r="D27" s="54">
        <v>5</v>
      </c>
      <c r="E27" s="54">
        <v>5</v>
      </c>
      <c r="F27" s="54">
        <v>5</v>
      </c>
      <c r="G27" s="54">
        <v>5</v>
      </c>
      <c r="H27" s="54">
        <v>5</v>
      </c>
      <c r="I27" s="54">
        <v>5</v>
      </c>
      <c r="J27" s="54">
        <v>5</v>
      </c>
      <c r="K27" s="54">
        <v>5</v>
      </c>
      <c r="L27" s="54">
        <v>5</v>
      </c>
      <c r="M27" s="54">
        <v>5</v>
      </c>
      <c r="N27" s="54">
        <v>5</v>
      </c>
      <c r="O27" s="54">
        <v>5</v>
      </c>
      <c r="P27" s="54">
        <v>5</v>
      </c>
      <c r="Q27" s="54">
        <v>5</v>
      </c>
      <c r="R27" s="54">
        <v>5</v>
      </c>
      <c r="S27" s="54">
        <v>5</v>
      </c>
      <c r="T27" s="54">
        <v>5</v>
      </c>
      <c r="U27" s="54">
        <v>5</v>
      </c>
      <c r="V27" s="54">
        <f t="shared" si="0"/>
        <v>100</v>
      </c>
    </row>
    <row r="28" spans="1:22" ht="15.75" customHeight="1">
      <c r="A28" s="53">
        <v>20</v>
      </c>
      <c r="B28" s="54">
        <v>5</v>
      </c>
      <c r="C28" s="54">
        <v>5</v>
      </c>
      <c r="D28" s="54">
        <v>5</v>
      </c>
      <c r="E28" s="54">
        <v>5</v>
      </c>
      <c r="F28" s="54">
        <v>5</v>
      </c>
      <c r="G28" s="54">
        <v>5</v>
      </c>
      <c r="H28" s="54">
        <v>5</v>
      </c>
      <c r="I28" s="54">
        <v>5</v>
      </c>
      <c r="J28" s="54">
        <v>5</v>
      </c>
      <c r="K28" s="54">
        <v>5</v>
      </c>
      <c r="L28" s="54">
        <v>5</v>
      </c>
      <c r="M28" s="54">
        <v>5</v>
      </c>
      <c r="N28" s="54">
        <v>5</v>
      </c>
      <c r="O28" s="54">
        <v>5</v>
      </c>
      <c r="P28" s="54">
        <v>5</v>
      </c>
      <c r="Q28" s="54">
        <v>5</v>
      </c>
      <c r="R28" s="54">
        <v>5</v>
      </c>
      <c r="S28" s="54">
        <v>5</v>
      </c>
      <c r="T28" s="54">
        <v>5</v>
      </c>
      <c r="U28" s="54">
        <v>5</v>
      </c>
      <c r="V28" s="54">
        <f t="shared" si="0"/>
        <v>100</v>
      </c>
    </row>
    <row r="29" spans="1:22" ht="15.75" customHeight="1">
      <c r="A29" s="53">
        <v>21</v>
      </c>
      <c r="B29" s="54">
        <v>5</v>
      </c>
      <c r="C29" s="54">
        <v>5</v>
      </c>
      <c r="D29" s="54">
        <v>5</v>
      </c>
      <c r="E29" s="54">
        <v>5</v>
      </c>
      <c r="F29" s="54">
        <v>5</v>
      </c>
      <c r="G29" s="54">
        <v>5</v>
      </c>
      <c r="H29" s="54">
        <v>5</v>
      </c>
      <c r="I29" s="54">
        <v>5</v>
      </c>
      <c r="J29" s="54">
        <v>4</v>
      </c>
      <c r="K29" s="54">
        <v>5</v>
      </c>
      <c r="L29" s="54">
        <v>5</v>
      </c>
      <c r="M29" s="54">
        <v>5</v>
      </c>
      <c r="N29" s="54">
        <v>5</v>
      </c>
      <c r="O29" s="54">
        <v>5</v>
      </c>
      <c r="P29" s="54">
        <v>5</v>
      </c>
      <c r="Q29" s="54">
        <v>5</v>
      </c>
      <c r="R29" s="54">
        <v>5</v>
      </c>
      <c r="S29" s="54">
        <v>5</v>
      </c>
      <c r="T29" s="54">
        <v>5</v>
      </c>
      <c r="U29" s="54">
        <v>5</v>
      </c>
      <c r="V29" s="54">
        <f t="shared" si="0"/>
        <v>99</v>
      </c>
    </row>
    <row r="30" spans="1:22" ht="15.75" customHeight="1">
      <c r="A30" s="53">
        <v>22</v>
      </c>
      <c r="B30" s="54">
        <v>5</v>
      </c>
      <c r="C30" s="54">
        <v>5</v>
      </c>
      <c r="D30" s="54">
        <v>5</v>
      </c>
      <c r="E30" s="54">
        <v>5</v>
      </c>
      <c r="F30" s="54">
        <v>5</v>
      </c>
      <c r="G30" s="54">
        <v>5</v>
      </c>
      <c r="H30" s="54">
        <v>5</v>
      </c>
      <c r="I30" s="54">
        <v>5</v>
      </c>
      <c r="J30" s="54">
        <v>5</v>
      </c>
      <c r="K30" s="54">
        <v>5</v>
      </c>
      <c r="L30" s="54">
        <v>5</v>
      </c>
      <c r="M30" s="54">
        <v>5</v>
      </c>
      <c r="N30" s="54">
        <v>5</v>
      </c>
      <c r="O30" s="54">
        <v>5</v>
      </c>
      <c r="P30" s="54">
        <v>5</v>
      </c>
      <c r="Q30" s="54">
        <v>5</v>
      </c>
      <c r="R30" s="54">
        <v>5</v>
      </c>
      <c r="S30" s="54">
        <v>5</v>
      </c>
      <c r="T30" s="54">
        <v>5</v>
      </c>
      <c r="U30" s="54">
        <v>5</v>
      </c>
      <c r="V30" s="54">
        <f t="shared" si="0"/>
        <v>100</v>
      </c>
    </row>
    <row r="31" spans="1:22" ht="15.75" customHeight="1">
      <c r="A31" s="53">
        <v>23</v>
      </c>
      <c r="B31" s="54">
        <v>5</v>
      </c>
      <c r="C31" s="54">
        <v>5</v>
      </c>
      <c r="D31" s="54">
        <v>5</v>
      </c>
      <c r="E31" s="54">
        <v>5</v>
      </c>
      <c r="F31" s="54">
        <v>5</v>
      </c>
      <c r="G31" s="54">
        <v>5</v>
      </c>
      <c r="H31" s="54">
        <v>5</v>
      </c>
      <c r="I31" s="54">
        <v>5</v>
      </c>
      <c r="J31" s="54">
        <v>5</v>
      </c>
      <c r="K31" s="54">
        <v>5</v>
      </c>
      <c r="L31" s="54">
        <v>5</v>
      </c>
      <c r="M31" s="54">
        <v>5</v>
      </c>
      <c r="N31" s="54">
        <v>5</v>
      </c>
      <c r="O31" s="54">
        <v>5</v>
      </c>
      <c r="P31" s="54">
        <v>5</v>
      </c>
      <c r="Q31" s="54">
        <v>5</v>
      </c>
      <c r="R31" s="54">
        <v>5</v>
      </c>
      <c r="S31" s="54">
        <v>5</v>
      </c>
      <c r="T31" s="54">
        <v>5</v>
      </c>
      <c r="U31" s="54">
        <v>5</v>
      </c>
      <c r="V31" s="54">
        <f t="shared" si="0"/>
        <v>100</v>
      </c>
    </row>
    <row r="32" spans="1:22" ht="15.75" customHeight="1">
      <c r="A32" s="53">
        <v>24</v>
      </c>
      <c r="B32" s="54">
        <v>5</v>
      </c>
      <c r="C32" s="54">
        <v>5</v>
      </c>
      <c r="D32" s="54">
        <v>5</v>
      </c>
      <c r="E32" s="54">
        <v>5</v>
      </c>
      <c r="F32" s="54">
        <v>5</v>
      </c>
      <c r="G32" s="54">
        <v>5</v>
      </c>
      <c r="H32" s="54">
        <v>5</v>
      </c>
      <c r="I32" s="54">
        <v>5</v>
      </c>
      <c r="J32" s="54">
        <v>5</v>
      </c>
      <c r="K32" s="54">
        <v>5</v>
      </c>
      <c r="L32" s="54">
        <v>5</v>
      </c>
      <c r="M32" s="54">
        <v>5</v>
      </c>
      <c r="N32" s="54">
        <v>5</v>
      </c>
      <c r="O32" s="54">
        <v>5</v>
      </c>
      <c r="P32" s="54">
        <v>5</v>
      </c>
      <c r="Q32" s="54">
        <v>5</v>
      </c>
      <c r="R32" s="54">
        <v>5</v>
      </c>
      <c r="S32" s="54">
        <v>5</v>
      </c>
      <c r="T32" s="54">
        <v>5</v>
      </c>
      <c r="U32" s="54">
        <v>5</v>
      </c>
      <c r="V32" s="54">
        <f t="shared" si="0"/>
        <v>100</v>
      </c>
    </row>
    <row r="33" spans="1:22" ht="15.75" customHeight="1">
      <c r="A33" s="53">
        <v>25</v>
      </c>
      <c r="B33" s="54">
        <v>4</v>
      </c>
      <c r="C33" s="54">
        <v>5</v>
      </c>
      <c r="D33" s="54">
        <v>5</v>
      </c>
      <c r="E33" s="54">
        <v>4</v>
      </c>
      <c r="F33" s="54">
        <v>4</v>
      </c>
      <c r="G33" s="54">
        <v>5</v>
      </c>
      <c r="H33" s="54">
        <v>5</v>
      </c>
      <c r="I33" s="54">
        <v>5</v>
      </c>
      <c r="J33" s="54">
        <v>5</v>
      </c>
      <c r="K33" s="54">
        <v>4</v>
      </c>
      <c r="L33" s="54">
        <v>4</v>
      </c>
      <c r="M33" s="54">
        <v>4</v>
      </c>
      <c r="N33" s="54">
        <v>5</v>
      </c>
      <c r="O33" s="54">
        <v>5</v>
      </c>
      <c r="P33" s="54">
        <v>5</v>
      </c>
      <c r="Q33" s="54">
        <v>5</v>
      </c>
      <c r="R33" s="54">
        <v>5</v>
      </c>
      <c r="S33" s="54">
        <v>5</v>
      </c>
      <c r="T33" s="54">
        <v>5</v>
      </c>
      <c r="U33" s="54">
        <v>5</v>
      </c>
      <c r="V33" s="54">
        <f t="shared" si="0"/>
        <v>94</v>
      </c>
    </row>
    <row r="34" spans="1:22" ht="15.75" customHeight="1">
      <c r="A34" s="53">
        <v>26</v>
      </c>
      <c r="B34" s="54">
        <v>5</v>
      </c>
      <c r="C34" s="54">
        <v>5</v>
      </c>
      <c r="D34" s="54">
        <v>5</v>
      </c>
      <c r="E34" s="54">
        <v>5</v>
      </c>
      <c r="F34" s="54">
        <v>5</v>
      </c>
      <c r="G34" s="54">
        <v>5</v>
      </c>
      <c r="H34" s="54">
        <v>5</v>
      </c>
      <c r="I34" s="54">
        <v>5</v>
      </c>
      <c r="J34" s="54">
        <v>5</v>
      </c>
      <c r="K34" s="54">
        <v>5</v>
      </c>
      <c r="L34" s="54">
        <v>5</v>
      </c>
      <c r="M34" s="54">
        <v>5</v>
      </c>
      <c r="N34" s="54">
        <v>5</v>
      </c>
      <c r="O34" s="54">
        <v>5</v>
      </c>
      <c r="P34" s="54">
        <v>5</v>
      </c>
      <c r="Q34" s="54">
        <v>5</v>
      </c>
      <c r="R34" s="54">
        <v>5</v>
      </c>
      <c r="S34" s="54">
        <v>5</v>
      </c>
      <c r="T34" s="54">
        <v>5</v>
      </c>
      <c r="U34" s="54">
        <v>5</v>
      </c>
      <c r="V34" s="54">
        <f t="shared" si="0"/>
        <v>100</v>
      </c>
    </row>
    <row r="35" spans="1:22" ht="15.75" customHeight="1">
      <c r="A35" s="53">
        <v>27</v>
      </c>
      <c r="B35" s="54">
        <v>3</v>
      </c>
      <c r="C35" s="54">
        <v>4</v>
      </c>
      <c r="D35" s="54">
        <v>5</v>
      </c>
      <c r="E35" s="54">
        <v>5</v>
      </c>
      <c r="F35" s="54">
        <v>5</v>
      </c>
      <c r="G35" s="54">
        <v>5</v>
      </c>
      <c r="H35" s="54">
        <v>5</v>
      </c>
      <c r="I35" s="54">
        <v>5</v>
      </c>
      <c r="J35" s="54">
        <v>5</v>
      </c>
      <c r="K35" s="54">
        <v>5</v>
      </c>
      <c r="L35" s="54">
        <v>5</v>
      </c>
      <c r="M35" s="54">
        <v>5</v>
      </c>
      <c r="N35" s="54">
        <v>5</v>
      </c>
      <c r="O35" s="54">
        <v>5</v>
      </c>
      <c r="P35" s="54">
        <v>5</v>
      </c>
      <c r="Q35" s="54">
        <v>5</v>
      </c>
      <c r="R35" s="54">
        <v>5</v>
      </c>
      <c r="S35" s="54">
        <v>5</v>
      </c>
      <c r="T35" s="54">
        <v>5</v>
      </c>
      <c r="U35" s="54">
        <v>5</v>
      </c>
      <c r="V35" s="54">
        <f t="shared" si="0"/>
        <v>97</v>
      </c>
    </row>
    <row r="36" spans="1:22" ht="15.75" customHeight="1">
      <c r="A36" s="53">
        <v>28</v>
      </c>
      <c r="B36" s="54">
        <v>5</v>
      </c>
      <c r="C36" s="54">
        <v>5</v>
      </c>
      <c r="D36" s="54">
        <v>5</v>
      </c>
      <c r="E36" s="54">
        <v>5</v>
      </c>
      <c r="F36" s="54">
        <v>5</v>
      </c>
      <c r="G36" s="54">
        <v>5</v>
      </c>
      <c r="H36" s="54">
        <v>5</v>
      </c>
      <c r="I36" s="54">
        <v>5</v>
      </c>
      <c r="J36" s="54">
        <v>5</v>
      </c>
      <c r="K36" s="54">
        <v>5</v>
      </c>
      <c r="L36" s="54">
        <v>5</v>
      </c>
      <c r="M36" s="54">
        <v>5</v>
      </c>
      <c r="N36" s="54">
        <v>5</v>
      </c>
      <c r="O36" s="54">
        <v>5</v>
      </c>
      <c r="P36" s="54">
        <v>5</v>
      </c>
      <c r="Q36" s="54">
        <v>5</v>
      </c>
      <c r="R36" s="54">
        <v>5</v>
      </c>
      <c r="S36" s="54">
        <v>5</v>
      </c>
      <c r="T36" s="54">
        <v>5</v>
      </c>
      <c r="U36" s="54">
        <v>5</v>
      </c>
      <c r="V36" s="54">
        <f t="shared" si="0"/>
        <v>100</v>
      </c>
    </row>
    <row r="37" spans="1:22" ht="15.75" customHeight="1">
      <c r="A37" s="53">
        <v>29</v>
      </c>
      <c r="B37" s="54">
        <v>5</v>
      </c>
      <c r="C37" s="54">
        <v>5</v>
      </c>
      <c r="D37" s="54">
        <v>5</v>
      </c>
      <c r="E37" s="54">
        <v>5</v>
      </c>
      <c r="F37" s="54">
        <v>5</v>
      </c>
      <c r="G37" s="54">
        <v>5</v>
      </c>
      <c r="H37" s="54">
        <v>5</v>
      </c>
      <c r="I37" s="54">
        <v>5</v>
      </c>
      <c r="J37" s="54">
        <v>5</v>
      </c>
      <c r="K37" s="54">
        <v>5</v>
      </c>
      <c r="L37" s="54">
        <v>5</v>
      </c>
      <c r="M37" s="54">
        <v>5</v>
      </c>
      <c r="N37" s="54">
        <v>5</v>
      </c>
      <c r="O37" s="54">
        <v>5</v>
      </c>
      <c r="P37" s="54">
        <v>5</v>
      </c>
      <c r="Q37" s="54">
        <v>5</v>
      </c>
      <c r="R37" s="54">
        <v>5</v>
      </c>
      <c r="S37" s="54">
        <v>5</v>
      </c>
      <c r="T37" s="54">
        <v>5</v>
      </c>
      <c r="U37" s="54">
        <v>5</v>
      </c>
      <c r="V37" s="54">
        <f t="shared" si="0"/>
        <v>100</v>
      </c>
    </row>
    <row r="38" spans="1:22" ht="15.75" customHeight="1">
      <c r="A38" s="53">
        <v>30</v>
      </c>
      <c r="B38" s="54">
        <v>4</v>
      </c>
      <c r="C38" s="54">
        <v>4</v>
      </c>
      <c r="D38" s="54">
        <v>4</v>
      </c>
      <c r="E38" s="54">
        <v>4</v>
      </c>
      <c r="F38" s="54">
        <v>4</v>
      </c>
      <c r="G38" s="54">
        <v>4</v>
      </c>
      <c r="H38" s="54">
        <v>4</v>
      </c>
      <c r="I38" s="54">
        <v>4</v>
      </c>
      <c r="J38" s="54">
        <v>4</v>
      </c>
      <c r="K38" s="54">
        <v>4</v>
      </c>
      <c r="L38" s="54">
        <v>4</v>
      </c>
      <c r="M38" s="54">
        <v>4</v>
      </c>
      <c r="N38" s="54">
        <v>4</v>
      </c>
      <c r="O38" s="54">
        <v>4</v>
      </c>
      <c r="P38" s="54">
        <v>4</v>
      </c>
      <c r="Q38" s="54">
        <v>4</v>
      </c>
      <c r="R38" s="54">
        <v>3</v>
      </c>
      <c r="S38" s="54">
        <v>4</v>
      </c>
      <c r="T38" s="54">
        <v>4</v>
      </c>
      <c r="U38" s="54">
        <v>4</v>
      </c>
      <c r="V38" s="54">
        <f t="shared" si="0"/>
        <v>79</v>
      </c>
    </row>
    <row r="39" spans="1:22" ht="15.75" customHeight="1">
      <c r="A39" s="53">
        <v>31</v>
      </c>
      <c r="B39" s="54">
        <v>5</v>
      </c>
      <c r="C39" s="54">
        <v>5</v>
      </c>
      <c r="D39" s="54">
        <v>5</v>
      </c>
      <c r="E39" s="54">
        <v>5</v>
      </c>
      <c r="F39" s="54">
        <v>5</v>
      </c>
      <c r="G39" s="54">
        <v>5</v>
      </c>
      <c r="H39" s="54">
        <v>5</v>
      </c>
      <c r="I39" s="54">
        <v>5</v>
      </c>
      <c r="J39" s="54">
        <v>5</v>
      </c>
      <c r="K39" s="54">
        <v>5</v>
      </c>
      <c r="L39" s="54">
        <v>5</v>
      </c>
      <c r="M39" s="54">
        <v>5</v>
      </c>
      <c r="N39" s="54">
        <v>5</v>
      </c>
      <c r="O39" s="54">
        <v>5</v>
      </c>
      <c r="P39" s="54">
        <v>5</v>
      </c>
      <c r="Q39" s="54">
        <v>5</v>
      </c>
      <c r="R39" s="54">
        <v>5</v>
      </c>
      <c r="S39" s="54">
        <v>5</v>
      </c>
      <c r="T39" s="54">
        <v>5</v>
      </c>
      <c r="U39" s="54">
        <v>5</v>
      </c>
      <c r="V39" s="54">
        <f t="shared" si="0"/>
        <v>100</v>
      </c>
    </row>
    <row r="40" spans="1:22" ht="15.75" customHeight="1">
      <c r="A40" s="53">
        <v>32</v>
      </c>
      <c r="B40" s="54">
        <v>4</v>
      </c>
      <c r="C40" s="54">
        <v>4</v>
      </c>
      <c r="D40" s="54">
        <v>4</v>
      </c>
      <c r="E40" s="54">
        <v>4</v>
      </c>
      <c r="F40" s="54">
        <v>3</v>
      </c>
      <c r="G40" s="54">
        <v>3</v>
      </c>
      <c r="H40" s="54">
        <v>4</v>
      </c>
      <c r="I40" s="54">
        <v>3</v>
      </c>
      <c r="J40" s="54">
        <v>3</v>
      </c>
      <c r="K40" s="54">
        <v>5</v>
      </c>
      <c r="L40" s="54">
        <v>5</v>
      </c>
      <c r="M40" s="54">
        <v>5</v>
      </c>
      <c r="N40" s="54">
        <v>5</v>
      </c>
      <c r="O40" s="54">
        <v>5</v>
      </c>
      <c r="P40" s="54">
        <v>5</v>
      </c>
      <c r="Q40" s="54">
        <v>5</v>
      </c>
      <c r="R40" s="54">
        <v>5</v>
      </c>
      <c r="S40" s="54">
        <v>5</v>
      </c>
      <c r="T40" s="54">
        <v>5</v>
      </c>
      <c r="U40" s="54">
        <v>5</v>
      </c>
      <c r="V40" s="54">
        <f t="shared" si="0"/>
        <v>87</v>
      </c>
    </row>
    <row r="41" spans="1:22" ht="15.75" customHeight="1">
      <c r="A41" s="53">
        <v>33</v>
      </c>
      <c r="B41" s="54">
        <v>5</v>
      </c>
      <c r="C41" s="54">
        <v>5</v>
      </c>
      <c r="D41" s="54">
        <v>5</v>
      </c>
      <c r="E41" s="54">
        <v>5</v>
      </c>
      <c r="F41" s="54">
        <v>5</v>
      </c>
      <c r="G41" s="54">
        <v>5</v>
      </c>
      <c r="H41" s="54">
        <v>5</v>
      </c>
      <c r="I41" s="54">
        <v>5</v>
      </c>
      <c r="J41" s="54">
        <v>5</v>
      </c>
      <c r="K41" s="54">
        <v>5</v>
      </c>
      <c r="L41" s="54">
        <v>5</v>
      </c>
      <c r="M41" s="54">
        <v>5</v>
      </c>
      <c r="N41" s="54">
        <v>5</v>
      </c>
      <c r="O41" s="54">
        <v>5</v>
      </c>
      <c r="P41" s="54">
        <v>5</v>
      </c>
      <c r="Q41" s="54">
        <v>5</v>
      </c>
      <c r="R41" s="54">
        <v>5</v>
      </c>
      <c r="S41" s="54">
        <v>5</v>
      </c>
      <c r="T41" s="54">
        <v>5</v>
      </c>
      <c r="U41" s="54">
        <v>5</v>
      </c>
      <c r="V41" s="54">
        <f t="shared" si="0"/>
        <v>100</v>
      </c>
    </row>
    <row r="42" spans="1:22" ht="15.75" customHeight="1">
      <c r="A42" s="53">
        <v>34</v>
      </c>
      <c r="B42" s="54">
        <v>5</v>
      </c>
      <c r="C42" s="54">
        <v>5</v>
      </c>
      <c r="D42" s="54">
        <v>5</v>
      </c>
      <c r="E42" s="54">
        <v>5</v>
      </c>
      <c r="F42" s="54">
        <v>5</v>
      </c>
      <c r="G42" s="54">
        <v>5</v>
      </c>
      <c r="H42" s="54">
        <v>5</v>
      </c>
      <c r="I42" s="54">
        <v>5</v>
      </c>
      <c r="J42" s="54">
        <v>5</v>
      </c>
      <c r="K42" s="54">
        <v>5</v>
      </c>
      <c r="L42" s="54">
        <v>5</v>
      </c>
      <c r="M42" s="54">
        <v>5</v>
      </c>
      <c r="N42" s="54">
        <v>5</v>
      </c>
      <c r="O42" s="54">
        <v>5</v>
      </c>
      <c r="P42" s="54">
        <v>4</v>
      </c>
      <c r="Q42" s="54">
        <v>5</v>
      </c>
      <c r="R42" s="54">
        <v>5</v>
      </c>
      <c r="S42" s="54">
        <v>4</v>
      </c>
      <c r="T42" s="54">
        <v>5</v>
      </c>
      <c r="U42" s="54">
        <v>5</v>
      </c>
      <c r="V42" s="54">
        <f t="shared" ref="V42:V66" si="1">SUM(B42:U42)</f>
        <v>98</v>
      </c>
    </row>
    <row r="43" spans="1:22" ht="15.75" customHeight="1">
      <c r="A43" s="53">
        <v>35</v>
      </c>
      <c r="B43" s="54">
        <v>5</v>
      </c>
      <c r="C43" s="54">
        <v>5</v>
      </c>
      <c r="D43" s="54">
        <v>2</v>
      </c>
      <c r="E43" s="54">
        <v>5</v>
      </c>
      <c r="F43" s="54">
        <v>4</v>
      </c>
      <c r="G43" s="54">
        <v>5</v>
      </c>
      <c r="H43" s="54">
        <v>5</v>
      </c>
      <c r="I43" s="54">
        <v>5</v>
      </c>
      <c r="J43" s="54">
        <v>5</v>
      </c>
      <c r="K43" s="54">
        <v>5</v>
      </c>
      <c r="L43" s="54">
        <v>5</v>
      </c>
      <c r="M43" s="54">
        <v>5</v>
      </c>
      <c r="N43" s="54">
        <v>5</v>
      </c>
      <c r="O43" s="54">
        <v>5</v>
      </c>
      <c r="P43" s="54">
        <v>5</v>
      </c>
      <c r="Q43" s="54">
        <v>5</v>
      </c>
      <c r="R43" s="54">
        <v>5</v>
      </c>
      <c r="S43" s="54">
        <v>5</v>
      </c>
      <c r="T43" s="54">
        <v>5</v>
      </c>
      <c r="U43" s="54">
        <v>5</v>
      </c>
      <c r="V43" s="54">
        <f t="shared" si="1"/>
        <v>96</v>
      </c>
    </row>
    <row r="44" spans="1:22" ht="15.75" customHeight="1">
      <c r="A44" s="53">
        <v>36</v>
      </c>
      <c r="B44" s="54">
        <v>5</v>
      </c>
      <c r="C44" s="54">
        <v>5</v>
      </c>
      <c r="D44" s="54">
        <v>5</v>
      </c>
      <c r="E44" s="54">
        <v>5</v>
      </c>
      <c r="F44" s="54">
        <v>5</v>
      </c>
      <c r="G44" s="54">
        <v>5</v>
      </c>
      <c r="H44" s="54">
        <v>5</v>
      </c>
      <c r="I44" s="54">
        <v>5</v>
      </c>
      <c r="J44" s="54">
        <v>5</v>
      </c>
      <c r="K44" s="54">
        <v>5</v>
      </c>
      <c r="L44" s="54">
        <v>5</v>
      </c>
      <c r="M44" s="54">
        <v>5</v>
      </c>
      <c r="N44" s="54">
        <v>5</v>
      </c>
      <c r="O44" s="54">
        <v>5</v>
      </c>
      <c r="P44" s="54">
        <v>5</v>
      </c>
      <c r="Q44" s="54">
        <v>5</v>
      </c>
      <c r="R44" s="54">
        <v>5</v>
      </c>
      <c r="S44" s="54">
        <v>5</v>
      </c>
      <c r="T44" s="54">
        <v>5</v>
      </c>
      <c r="U44" s="54">
        <v>5</v>
      </c>
      <c r="V44" s="54">
        <f t="shared" si="1"/>
        <v>100</v>
      </c>
    </row>
    <row r="45" spans="1:22" ht="15.75" customHeight="1">
      <c r="A45" s="53">
        <v>37</v>
      </c>
      <c r="B45" s="54">
        <v>5</v>
      </c>
      <c r="C45" s="54">
        <v>5</v>
      </c>
      <c r="D45" s="54">
        <v>5</v>
      </c>
      <c r="E45" s="54">
        <v>5</v>
      </c>
      <c r="F45" s="54">
        <v>5</v>
      </c>
      <c r="G45" s="54">
        <v>5</v>
      </c>
      <c r="H45" s="54">
        <v>5</v>
      </c>
      <c r="I45" s="54">
        <v>5</v>
      </c>
      <c r="J45" s="54">
        <v>5</v>
      </c>
      <c r="K45" s="54">
        <v>4</v>
      </c>
      <c r="L45" s="54">
        <v>4</v>
      </c>
      <c r="M45" s="54">
        <v>4</v>
      </c>
      <c r="N45" s="54">
        <v>4</v>
      </c>
      <c r="O45" s="54">
        <v>4</v>
      </c>
      <c r="P45" s="54">
        <v>5</v>
      </c>
      <c r="Q45" s="54">
        <v>5</v>
      </c>
      <c r="R45" s="54">
        <v>5</v>
      </c>
      <c r="S45" s="54">
        <v>5</v>
      </c>
      <c r="T45" s="54">
        <v>5</v>
      </c>
      <c r="U45" s="54">
        <v>5</v>
      </c>
      <c r="V45" s="54">
        <f t="shared" si="1"/>
        <v>95</v>
      </c>
    </row>
    <row r="46" spans="1:22" ht="15.75" customHeight="1">
      <c r="A46" s="53">
        <v>38</v>
      </c>
      <c r="B46" s="54">
        <v>3</v>
      </c>
      <c r="C46" s="54">
        <v>3</v>
      </c>
      <c r="D46" s="54">
        <v>3</v>
      </c>
      <c r="E46" s="54">
        <v>3</v>
      </c>
      <c r="F46" s="54">
        <v>3</v>
      </c>
      <c r="G46" s="54">
        <v>3</v>
      </c>
      <c r="H46" s="54">
        <v>3</v>
      </c>
      <c r="I46" s="54">
        <v>3</v>
      </c>
      <c r="J46" s="54">
        <v>3</v>
      </c>
      <c r="K46" s="54">
        <v>3</v>
      </c>
      <c r="L46" s="54">
        <v>4</v>
      </c>
      <c r="M46" s="54">
        <v>4</v>
      </c>
      <c r="N46" s="54">
        <v>4</v>
      </c>
      <c r="O46" s="54">
        <v>2</v>
      </c>
      <c r="P46" s="54">
        <v>2</v>
      </c>
      <c r="Q46" s="54">
        <v>4</v>
      </c>
      <c r="R46" s="54">
        <v>4</v>
      </c>
      <c r="S46" s="54">
        <v>5</v>
      </c>
      <c r="T46" s="54">
        <v>4</v>
      </c>
      <c r="U46" s="54">
        <v>4</v>
      </c>
      <c r="V46" s="54">
        <f t="shared" si="1"/>
        <v>67</v>
      </c>
    </row>
    <row r="47" spans="1:22" ht="15.75" customHeight="1">
      <c r="A47" s="53">
        <v>39</v>
      </c>
      <c r="B47" s="54">
        <v>3</v>
      </c>
      <c r="C47" s="54">
        <v>4</v>
      </c>
      <c r="D47" s="54">
        <v>3</v>
      </c>
      <c r="E47" s="54">
        <v>4</v>
      </c>
      <c r="F47" s="54">
        <v>4</v>
      </c>
      <c r="G47" s="54">
        <v>5</v>
      </c>
      <c r="H47" s="54">
        <v>4</v>
      </c>
      <c r="I47" s="54">
        <v>4</v>
      </c>
      <c r="J47" s="54">
        <v>4</v>
      </c>
      <c r="K47" s="54">
        <v>4</v>
      </c>
      <c r="L47" s="54">
        <v>4</v>
      </c>
      <c r="M47" s="54">
        <v>4</v>
      </c>
      <c r="N47" s="54">
        <v>4</v>
      </c>
      <c r="O47" s="54">
        <v>3</v>
      </c>
      <c r="P47" s="54">
        <v>4</v>
      </c>
      <c r="Q47" s="54">
        <v>4</v>
      </c>
      <c r="R47" s="54">
        <v>4</v>
      </c>
      <c r="S47" s="54">
        <v>4</v>
      </c>
      <c r="T47" s="54">
        <v>4</v>
      </c>
      <c r="U47" s="54">
        <v>5</v>
      </c>
      <c r="V47" s="54">
        <f t="shared" si="1"/>
        <v>79</v>
      </c>
    </row>
    <row r="48" spans="1:22" ht="15.75" customHeight="1">
      <c r="A48" s="53">
        <v>40</v>
      </c>
      <c r="B48" s="54">
        <v>4</v>
      </c>
      <c r="C48" s="54">
        <v>4</v>
      </c>
      <c r="D48" s="54">
        <v>5</v>
      </c>
      <c r="E48" s="54">
        <v>5</v>
      </c>
      <c r="F48" s="54">
        <v>4</v>
      </c>
      <c r="G48" s="54">
        <v>5</v>
      </c>
      <c r="H48" s="54">
        <v>5</v>
      </c>
      <c r="I48" s="54">
        <v>4</v>
      </c>
      <c r="J48" s="54">
        <v>5</v>
      </c>
      <c r="K48" s="54">
        <v>5</v>
      </c>
      <c r="L48" s="54">
        <v>4</v>
      </c>
      <c r="M48" s="54">
        <v>5</v>
      </c>
      <c r="N48" s="54">
        <v>4</v>
      </c>
      <c r="O48" s="54">
        <v>4</v>
      </c>
      <c r="P48" s="54">
        <v>5</v>
      </c>
      <c r="Q48" s="54">
        <v>5</v>
      </c>
      <c r="R48" s="54">
        <v>5</v>
      </c>
      <c r="S48" s="54">
        <v>5</v>
      </c>
      <c r="T48" s="54">
        <v>5</v>
      </c>
      <c r="U48" s="54">
        <v>5</v>
      </c>
      <c r="V48" s="54">
        <f t="shared" si="1"/>
        <v>93</v>
      </c>
    </row>
    <row r="49" spans="1:22" ht="15.75" customHeight="1">
      <c r="A49" s="53">
        <v>41</v>
      </c>
      <c r="B49" s="54">
        <v>5</v>
      </c>
      <c r="C49" s="54">
        <v>5</v>
      </c>
      <c r="D49" s="54">
        <v>5</v>
      </c>
      <c r="E49" s="54">
        <v>5</v>
      </c>
      <c r="F49" s="54">
        <v>5</v>
      </c>
      <c r="G49" s="54">
        <v>5</v>
      </c>
      <c r="H49" s="54">
        <v>5</v>
      </c>
      <c r="I49" s="54">
        <v>5</v>
      </c>
      <c r="J49" s="54">
        <v>5</v>
      </c>
      <c r="K49" s="54">
        <v>5</v>
      </c>
      <c r="L49" s="54">
        <v>5</v>
      </c>
      <c r="M49" s="54">
        <v>5</v>
      </c>
      <c r="N49" s="54">
        <v>5</v>
      </c>
      <c r="O49" s="54">
        <v>5</v>
      </c>
      <c r="P49" s="54">
        <v>5</v>
      </c>
      <c r="Q49" s="54">
        <v>5</v>
      </c>
      <c r="R49" s="54">
        <v>5</v>
      </c>
      <c r="S49" s="54">
        <v>5</v>
      </c>
      <c r="T49" s="54">
        <v>5</v>
      </c>
      <c r="U49" s="54">
        <v>5</v>
      </c>
      <c r="V49" s="54">
        <f t="shared" si="1"/>
        <v>100</v>
      </c>
    </row>
    <row r="50" spans="1:22" ht="15.75" customHeight="1">
      <c r="A50" s="53">
        <v>42</v>
      </c>
      <c r="B50" s="54">
        <v>5</v>
      </c>
      <c r="C50" s="54">
        <v>5</v>
      </c>
      <c r="D50" s="54">
        <v>5</v>
      </c>
      <c r="E50" s="54">
        <v>5</v>
      </c>
      <c r="F50" s="54">
        <v>5</v>
      </c>
      <c r="G50" s="54">
        <v>5</v>
      </c>
      <c r="H50" s="54">
        <v>5</v>
      </c>
      <c r="I50" s="54">
        <v>5</v>
      </c>
      <c r="J50" s="54">
        <v>5</v>
      </c>
      <c r="K50" s="54">
        <v>5</v>
      </c>
      <c r="L50" s="54">
        <v>5</v>
      </c>
      <c r="M50" s="54">
        <v>5</v>
      </c>
      <c r="N50" s="54">
        <v>5</v>
      </c>
      <c r="O50" s="54">
        <v>5</v>
      </c>
      <c r="P50" s="54">
        <v>5</v>
      </c>
      <c r="Q50" s="54">
        <v>5</v>
      </c>
      <c r="R50" s="54">
        <v>5</v>
      </c>
      <c r="S50" s="54">
        <v>5</v>
      </c>
      <c r="T50" s="54">
        <v>5</v>
      </c>
      <c r="U50" s="54">
        <v>5</v>
      </c>
      <c r="V50" s="54">
        <f t="shared" si="1"/>
        <v>100</v>
      </c>
    </row>
    <row r="51" spans="1:22" ht="15.75" customHeight="1">
      <c r="A51" s="53">
        <v>43</v>
      </c>
      <c r="B51" s="54">
        <v>5</v>
      </c>
      <c r="C51" s="54">
        <v>5</v>
      </c>
      <c r="D51" s="54">
        <v>5</v>
      </c>
      <c r="E51" s="54">
        <v>5</v>
      </c>
      <c r="F51" s="54">
        <v>5</v>
      </c>
      <c r="G51" s="54">
        <v>5</v>
      </c>
      <c r="H51" s="54">
        <v>5</v>
      </c>
      <c r="I51" s="54">
        <v>5</v>
      </c>
      <c r="J51" s="54">
        <v>5</v>
      </c>
      <c r="K51" s="54">
        <v>5</v>
      </c>
      <c r="L51" s="54">
        <v>5</v>
      </c>
      <c r="M51" s="54">
        <v>5</v>
      </c>
      <c r="N51" s="54">
        <v>5</v>
      </c>
      <c r="O51" s="54">
        <v>5</v>
      </c>
      <c r="P51" s="54">
        <v>5</v>
      </c>
      <c r="Q51" s="54">
        <v>5</v>
      </c>
      <c r="R51" s="54">
        <v>5</v>
      </c>
      <c r="S51" s="54">
        <v>5</v>
      </c>
      <c r="T51" s="54">
        <v>5</v>
      </c>
      <c r="U51" s="54">
        <v>5</v>
      </c>
      <c r="V51" s="54">
        <f t="shared" si="1"/>
        <v>100</v>
      </c>
    </row>
    <row r="52" spans="1:22" ht="15.75" customHeight="1">
      <c r="A52" s="53">
        <v>44</v>
      </c>
      <c r="B52" s="54">
        <v>4</v>
      </c>
      <c r="C52" s="54">
        <v>4</v>
      </c>
      <c r="D52" s="54">
        <v>4</v>
      </c>
      <c r="E52" s="54">
        <v>4</v>
      </c>
      <c r="F52" s="54">
        <v>4</v>
      </c>
      <c r="G52" s="54">
        <v>4</v>
      </c>
      <c r="H52" s="54">
        <v>4</v>
      </c>
      <c r="I52" s="54">
        <v>4</v>
      </c>
      <c r="J52" s="54">
        <v>4</v>
      </c>
      <c r="K52" s="54">
        <v>4</v>
      </c>
      <c r="L52" s="54">
        <v>4</v>
      </c>
      <c r="M52" s="54">
        <v>4</v>
      </c>
      <c r="N52" s="54">
        <v>4</v>
      </c>
      <c r="O52" s="54">
        <v>4</v>
      </c>
      <c r="P52" s="54">
        <v>4</v>
      </c>
      <c r="Q52" s="54">
        <v>4</v>
      </c>
      <c r="R52" s="54">
        <v>4</v>
      </c>
      <c r="S52" s="54">
        <v>4</v>
      </c>
      <c r="T52" s="54">
        <v>4</v>
      </c>
      <c r="U52" s="54">
        <v>4</v>
      </c>
      <c r="V52" s="54">
        <f t="shared" si="1"/>
        <v>80</v>
      </c>
    </row>
    <row r="53" spans="1:22" ht="15.75" customHeight="1">
      <c r="A53" s="53">
        <v>45</v>
      </c>
      <c r="B53" s="54">
        <v>5</v>
      </c>
      <c r="C53" s="54">
        <v>5</v>
      </c>
      <c r="D53" s="54">
        <v>5</v>
      </c>
      <c r="E53" s="54">
        <v>5</v>
      </c>
      <c r="F53" s="54">
        <v>5</v>
      </c>
      <c r="G53" s="54">
        <v>5</v>
      </c>
      <c r="H53" s="54">
        <v>5</v>
      </c>
      <c r="I53" s="54">
        <v>5</v>
      </c>
      <c r="J53" s="54">
        <v>5</v>
      </c>
      <c r="K53" s="54">
        <v>5</v>
      </c>
      <c r="L53" s="54">
        <v>5</v>
      </c>
      <c r="M53" s="54">
        <v>5</v>
      </c>
      <c r="N53" s="54">
        <v>5</v>
      </c>
      <c r="O53" s="54">
        <v>5</v>
      </c>
      <c r="P53" s="54">
        <v>5</v>
      </c>
      <c r="Q53" s="54">
        <v>5</v>
      </c>
      <c r="R53" s="54">
        <v>5</v>
      </c>
      <c r="S53" s="54">
        <v>5</v>
      </c>
      <c r="T53" s="54">
        <v>5</v>
      </c>
      <c r="U53" s="54">
        <v>5</v>
      </c>
      <c r="V53" s="54">
        <f t="shared" si="1"/>
        <v>100</v>
      </c>
    </row>
    <row r="54" spans="1:22" ht="15.75" customHeight="1">
      <c r="A54" s="53">
        <v>46</v>
      </c>
      <c r="B54" s="54">
        <v>5</v>
      </c>
      <c r="C54" s="54">
        <v>5</v>
      </c>
      <c r="D54" s="54">
        <v>5</v>
      </c>
      <c r="E54" s="54">
        <v>5</v>
      </c>
      <c r="F54" s="54">
        <v>5</v>
      </c>
      <c r="G54" s="54">
        <v>5</v>
      </c>
      <c r="H54" s="54">
        <v>5</v>
      </c>
      <c r="I54" s="54">
        <v>5</v>
      </c>
      <c r="J54" s="54">
        <v>5</v>
      </c>
      <c r="K54" s="54">
        <v>5</v>
      </c>
      <c r="L54" s="54">
        <v>5</v>
      </c>
      <c r="M54" s="54">
        <v>5</v>
      </c>
      <c r="N54" s="54">
        <v>5</v>
      </c>
      <c r="O54" s="54">
        <v>5</v>
      </c>
      <c r="P54" s="54">
        <v>5</v>
      </c>
      <c r="Q54" s="54">
        <v>5</v>
      </c>
      <c r="R54" s="54">
        <v>5</v>
      </c>
      <c r="S54" s="54">
        <v>5</v>
      </c>
      <c r="T54" s="54">
        <v>5</v>
      </c>
      <c r="U54" s="54">
        <v>5</v>
      </c>
      <c r="V54" s="54">
        <f t="shared" si="1"/>
        <v>100</v>
      </c>
    </row>
    <row r="55" spans="1:22" ht="15.75" customHeight="1">
      <c r="A55" s="53">
        <v>47</v>
      </c>
      <c r="B55" s="54">
        <v>4</v>
      </c>
      <c r="C55" s="54">
        <v>5</v>
      </c>
      <c r="D55" s="54">
        <v>5</v>
      </c>
      <c r="E55" s="54">
        <v>4</v>
      </c>
      <c r="F55" s="54">
        <v>4</v>
      </c>
      <c r="G55" s="54">
        <v>5</v>
      </c>
      <c r="H55" s="54">
        <v>5</v>
      </c>
      <c r="I55" s="54">
        <v>5</v>
      </c>
      <c r="J55" s="54">
        <v>5</v>
      </c>
      <c r="K55" s="54">
        <v>4</v>
      </c>
      <c r="L55" s="54">
        <v>4</v>
      </c>
      <c r="M55" s="54">
        <v>3</v>
      </c>
      <c r="N55" s="54">
        <v>3</v>
      </c>
      <c r="O55" s="54">
        <v>3</v>
      </c>
      <c r="P55" s="54">
        <v>3</v>
      </c>
      <c r="Q55" s="54">
        <v>3</v>
      </c>
      <c r="R55" s="54">
        <v>3</v>
      </c>
      <c r="S55" s="54">
        <v>3</v>
      </c>
      <c r="T55" s="54">
        <v>5</v>
      </c>
      <c r="U55" s="54">
        <v>5</v>
      </c>
      <c r="V55" s="54">
        <f t="shared" si="1"/>
        <v>81</v>
      </c>
    </row>
    <row r="56" spans="1:22" ht="15.75" customHeight="1">
      <c r="A56" s="53">
        <v>48</v>
      </c>
      <c r="B56" s="54">
        <v>3</v>
      </c>
      <c r="C56" s="54">
        <v>3</v>
      </c>
      <c r="D56" s="54">
        <v>3</v>
      </c>
      <c r="E56" s="54">
        <v>2</v>
      </c>
      <c r="F56" s="54">
        <v>2</v>
      </c>
      <c r="G56" s="54">
        <v>2</v>
      </c>
      <c r="H56" s="54">
        <v>1</v>
      </c>
      <c r="I56" s="54">
        <v>1</v>
      </c>
      <c r="J56" s="54">
        <v>1</v>
      </c>
      <c r="K56" s="54">
        <v>1</v>
      </c>
      <c r="L56" s="54">
        <v>1</v>
      </c>
      <c r="M56" s="54">
        <v>1</v>
      </c>
      <c r="N56" s="54">
        <v>1</v>
      </c>
      <c r="O56" s="54">
        <v>1</v>
      </c>
      <c r="P56" s="54">
        <v>2</v>
      </c>
      <c r="Q56" s="54">
        <v>2</v>
      </c>
      <c r="R56" s="54">
        <v>2</v>
      </c>
      <c r="S56" s="54">
        <v>5</v>
      </c>
      <c r="T56" s="54">
        <v>5</v>
      </c>
      <c r="U56" s="54">
        <v>5</v>
      </c>
      <c r="V56" s="54">
        <f t="shared" si="1"/>
        <v>44</v>
      </c>
    </row>
    <row r="57" spans="1:22" ht="15.75" customHeight="1">
      <c r="A57" s="53">
        <v>49</v>
      </c>
      <c r="B57" s="54">
        <v>3</v>
      </c>
      <c r="C57" s="54">
        <v>4</v>
      </c>
      <c r="D57" s="54">
        <v>5</v>
      </c>
      <c r="E57" s="54">
        <v>5</v>
      </c>
      <c r="F57" s="54">
        <v>5</v>
      </c>
      <c r="G57" s="54">
        <v>5</v>
      </c>
      <c r="H57" s="54">
        <v>5</v>
      </c>
      <c r="I57" s="54">
        <v>5</v>
      </c>
      <c r="J57" s="54">
        <v>5</v>
      </c>
      <c r="K57" s="54">
        <v>5</v>
      </c>
      <c r="L57" s="54">
        <v>5</v>
      </c>
      <c r="M57" s="54">
        <v>5</v>
      </c>
      <c r="N57" s="54">
        <v>5</v>
      </c>
      <c r="O57" s="54">
        <v>5</v>
      </c>
      <c r="P57" s="54">
        <v>5</v>
      </c>
      <c r="Q57" s="54">
        <v>5</v>
      </c>
      <c r="R57" s="54">
        <v>5</v>
      </c>
      <c r="S57" s="54">
        <v>5</v>
      </c>
      <c r="T57" s="54">
        <v>5</v>
      </c>
      <c r="U57" s="54">
        <v>5</v>
      </c>
      <c r="V57" s="54">
        <f t="shared" si="1"/>
        <v>97</v>
      </c>
    </row>
    <row r="58" spans="1:22" ht="15.75" customHeight="1">
      <c r="A58" s="53">
        <v>50</v>
      </c>
      <c r="B58" s="54">
        <v>3</v>
      </c>
      <c r="C58" s="54">
        <v>3</v>
      </c>
      <c r="D58" s="54">
        <v>3</v>
      </c>
      <c r="E58" s="54">
        <v>3</v>
      </c>
      <c r="F58" s="54">
        <v>3</v>
      </c>
      <c r="G58" s="54">
        <v>3</v>
      </c>
      <c r="H58" s="54">
        <v>3</v>
      </c>
      <c r="I58" s="54">
        <v>3</v>
      </c>
      <c r="J58" s="54">
        <v>3</v>
      </c>
      <c r="K58" s="54">
        <v>3</v>
      </c>
      <c r="L58" s="54">
        <v>4</v>
      </c>
      <c r="M58" s="54">
        <v>4</v>
      </c>
      <c r="N58" s="54">
        <v>4</v>
      </c>
      <c r="O58" s="54">
        <v>2</v>
      </c>
      <c r="P58" s="54">
        <v>2</v>
      </c>
      <c r="Q58" s="54">
        <v>4</v>
      </c>
      <c r="R58" s="54">
        <v>4</v>
      </c>
      <c r="S58" s="54">
        <v>5</v>
      </c>
      <c r="T58" s="54">
        <v>4</v>
      </c>
      <c r="U58" s="54">
        <v>4</v>
      </c>
      <c r="V58" s="54">
        <f t="shared" si="1"/>
        <v>67</v>
      </c>
    </row>
    <row r="59" spans="1:22" ht="15.75" customHeight="1">
      <c r="A59" s="53">
        <v>51</v>
      </c>
      <c r="B59" s="54">
        <v>3</v>
      </c>
      <c r="C59" s="54">
        <v>4</v>
      </c>
      <c r="D59" s="54">
        <v>3</v>
      </c>
      <c r="E59" s="54">
        <v>4</v>
      </c>
      <c r="F59" s="54">
        <v>4</v>
      </c>
      <c r="G59" s="54">
        <v>5</v>
      </c>
      <c r="H59" s="54">
        <v>4</v>
      </c>
      <c r="I59" s="54">
        <v>4</v>
      </c>
      <c r="J59" s="54">
        <v>4</v>
      </c>
      <c r="K59" s="54">
        <v>4</v>
      </c>
      <c r="L59" s="54">
        <v>4</v>
      </c>
      <c r="M59" s="54">
        <v>4</v>
      </c>
      <c r="N59" s="54">
        <v>4</v>
      </c>
      <c r="O59" s="54">
        <v>3</v>
      </c>
      <c r="P59" s="54">
        <v>4</v>
      </c>
      <c r="Q59" s="54">
        <v>4</v>
      </c>
      <c r="R59" s="54">
        <v>4</v>
      </c>
      <c r="S59" s="54">
        <v>4</v>
      </c>
      <c r="T59" s="54">
        <v>4</v>
      </c>
      <c r="U59" s="54">
        <v>5</v>
      </c>
      <c r="V59" s="54">
        <f t="shared" si="1"/>
        <v>79</v>
      </c>
    </row>
    <row r="60" spans="1:22" ht="15.75" customHeight="1">
      <c r="A60" s="53">
        <v>52</v>
      </c>
      <c r="B60" s="54">
        <v>4</v>
      </c>
      <c r="C60" s="54">
        <v>4</v>
      </c>
      <c r="D60" s="54">
        <v>5</v>
      </c>
      <c r="E60" s="54">
        <v>5</v>
      </c>
      <c r="F60" s="54">
        <v>4</v>
      </c>
      <c r="G60" s="54">
        <v>5</v>
      </c>
      <c r="H60" s="54">
        <v>5</v>
      </c>
      <c r="I60" s="54">
        <v>4</v>
      </c>
      <c r="J60" s="54">
        <v>5</v>
      </c>
      <c r="K60" s="54">
        <v>5</v>
      </c>
      <c r="L60" s="54">
        <v>4</v>
      </c>
      <c r="M60" s="54">
        <v>5</v>
      </c>
      <c r="N60" s="54">
        <v>4</v>
      </c>
      <c r="O60" s="54">
        <v>4</v>
      </c>
      <c r="P60" s="54">
        <v>5</v>
      </c>
      <c r="Q60" s="54">
        <v>5</v>
      </c>
      <c r="R60" s="54">
        <v>5</v>
      </c>
      <c r="S60" s="54">
        <v>5</v>
      </c>
      <c r="T60" s="54">
        <v>5</v>
      </c>
      <c r="U60" s="54">
        <v>5</v>
      </c>
      <c r="V60" s="54">
        <f t="shared" si="1"/>
        <v>93</v>
      </c>
    </row>
    <row r="61" spans="1:22" ht="15.75" customHeight="1">
      <c r="A61" s="53">
        <v>53</v>
      </c>
      <c r="B61" s="54">
        <v>1</v>
      </c>
      <c r="C61" s="54">
        <v>1</v>
      </c>
      <c r="D61" s="54">
        <v>1</v>
      </c>
      <c r="E61" s="54">
        <v>1</v>
      </c>
      <c r="F61" s="54">
        <v>1</v>
      </c>
      <c r="G61" s="54">
        <v>1</v>
      </c>
      <c r="H61" s="54">
        <v>1</v>
      </c>
      <c r="I61" s="54">
        <v>1</v>
      </c>
      <c r="J61" s="54">
        <v>1</v>
      </c>
      <c r="K61" s="54">
        <v>2</v>
      </c>
      <c r="L61" s="54">
        <v>2</v>
      </c>
      <c r="M61" s="54">
        <v>2</v>
      </c>
      <c r="N61" s="54">
        <v>2</v>
      </c>
      <c r="O61" s="54">
        <v>2</v>
      </c>
      <c r="P61" s="54">
        <v>2</v>
      </c>
      <c r="Q61" s="54">
        <v>2</v>
      </c>
      <c r="R61" s="54">
        <v>2</v>
      </c>
      <c r="S61" s="54">
        <v>5</v>
      </c>
      <c r="T61" s="54">
        <v>5</v>
      </c>
      <c r="U61" s="54">
        <v>5</v>
      </c>
      <c r="V61" s="54">
        <f t="shared" si="1"/>
        <v>40</v>
      </c>
    </row>
    <row r="62" spans="1:22" ht="15.75" customHeight="1">
      <c r="A62" s="53">
        <v>54</v>
      </c>
      <c r="B62" s="54">
        <v>4</v>
      </c>
      <c r="C62" s="54">
        <v>4</v>
      </c>
      <c r="D62" s="54">
        <v>4</v>
      </c>
      <c r="E62" s="54">
        <v>4</v>
      </c>
      <c r="F62" s="54">
        <v>4</v>
      </c>
      <c r="G62" s="54">
        <v>4</v>
      </c>
      <c r="H62" s="54">
        <v>43</v>
      </c>
      <c r="I62" s="54">
        <v>3</v>
      </c>
      <c r="J62" s="54">
        <v>2</v>
      </c>
      <c r="K62" s="54">
        <v>2</v>
      </c>
      <c r="L62" s="54">
        <v>2</v>
      </c>
      <c r="M62" s="54">
        <v>2</v>
      </c>
      <c r="N62" s="54">
        <v>5</v>
      </c>
      <c r="O62" s="54">
        <v>5</v>
      </c>
      <c r="P62" s="54">
        <v>5</v>
      </c>
      <c r="Q62" s="54">
        <v>5</v>
      </c>
      <c r="R62" s="54">
        <v>5</v>
      </c>
      <c r="S62" s="54">
        <v>5</v>
      </c>
      <c r="T62" s="54">
        <v>5</v>
      </c>
      <c r="U62" s="54">
        <v>5</v>
      </c>
      <c r="V62" s="54">
        <f t="shared" si="1"/>
        <v>118</v>
      </c>
    </row>
    <row r="63" spans="1:22" ht="15.75" customHeight="1">
      <c r="A63" s="53">
        <v>55</v>
      </c>
      <c r="B63" s="54">
        <v>5</v>
      </c>
      <c r="C63" s="54">
        <v>5</v>
      </c>
      <c r="D63" s="54">
        <v>5</v>
      </c>
      <c r="E63" s="54">
        <v>5</v>
      </c>
      <c r="F63" s="54">
        <v>5</v>
      </c>
      <c r="G63" s="54">
        <v>5</v>
      </c>
      <c r="H63" s="54">
        <v>5</v>
      </c>
      <c r="I63" s="54">
        <v>5</v>
      </c>
      <c r="J63" s="54">
        <v>5</v>
      </c>
      <c r="K63" s="54">
        <v>5</v>
      </c>
      <c r="L63" s="54">
        <v>2</v>
      </c>
      <c r="M63" s="54">
        <v>2</v>
      </c>
      <c r="N63" s="54">
        <v>2</v>
      </c>
      <c r="O63" s="54">
        <v>2</v>
      </c>
      <c r="P63" s="54">
        <v>2</v>
      </c>
      <c r="Q63" s="54">
        <v>2</v>
      </c>
      <c r="R63" s="54">
        <v>2</v>
      </c>
      <c r="S63" s="54">
        <v>5</v>
      </c>
      <c r="T63" s="54">
        <v>5</v>
      </c>
      <c r="U63" s="54">
        <v>5</v>
      </c>
      <c r="V63" s="54">
        <f t="shared" si="1"/>
        <v>79</v>
      </c>
    </row>
    <row r="64" spans="1:22" ht="18" customHeight="1">
      <c r="A64" s="53">
        <v>56</v>
      </c>
      <c r="B64" s="54">
        <v>5</v>
      </c>
      <c r="C64" s="54">
        <v>5</v>
      </c>
      <c r="D64" s="54">
        <v>5</v>
      </c>
      <c r="E64" s="54">
        <v>5</v>
      </c>
      <c r="F64" s="54">
        <v>5</v>
      </c>
      <c r="G64" s="54">
        <v>5</v>
      </c>
      <c r="H64" s="54">
        <v>5</v>
      </c>
      <c r="I64" s="54">
        <v>5</v>
      </c>
      <c r="J64" s="54">
        <v>5</v>
      </c>
      <c r="K64" s="54">
        <v>5</v>
      </c>
      <c r="L64" s="54">
        <v>5</v>
      </c>
      <c r="M64" s="54">
        <v>5</v>
      </c>
      <c r="N64" s="54">
        <v>5</v>
      </c>
      <c r="O64" s="54">
        <v>5</v>
      </c>
      <c r="P64" s="54">
        <v>5</v>
      </c>
      <c r="Q64" s="54">
        <v>5</v>
      </c>
      <c r="R64" s="54">
        <v>5</v>
      </c>
      <c r="S64" s="54">
        <v>5</v>
      </c>
      <c r="T64" s="54">
        <v>5</v>
      </c>
      <c r="U64" s="54">
        <v>5</v>
      </c>
      <c r="V64" s="54">
        <f t="shared" si="1"/>
        <v>100</v>
      </c>
    </row>
    <row r="65" spans="1:23" ht="15.75" customHeight="1">
      <c r="A65" s="53">
        <v>57</v>
      </c>
      <c r="B65" s="54">
        <v>4</v>
      </c>
      <c r="C65" s="54">
        <v>5</v>
      </c>
      <c r="D65" s="54">
        <v>5</v>
      </c>
      <c r="E65" s="54">
        <v>4</v>
      </c>
      <c r="F65" s="54">
        <v>4</v>
      </c>
      <c r="G65" s="54">
        <v>5</v>
      </c>
      <c r="H65" s="54">
        <v>5</v>
      </c>
      <c r="I65" s="54">
        <v>4</v>
      </c>
      <c r="J65" s="54">
        <v>4</v>
      </c>
      <c r="K65" s="54">
        <v>4</v>
      </c>
      <c r="L65" s="54">
        <v>4</v>
      </c>
      <c r="M65" s="54">
        <v>4</v>
      </c>
      <c r="N65" s="54">
        <v>4</v>
      </c>
      <c r="O65" s="54">
        <v>4</v>
      </c>
      <c r="P65" s="54">
        <v>4</v>
      </c>
      <c r="Q65" s="54">
        <v>5</v>
      </c>
      <c r="R65" s="54">
        <v>4</v>
      </c>
      <c r="S65" s="54">
        <v>4</v>
      </c>
      <c r="T65" s="54">
        <v>5</v>
      </c>
      <c r="U65" s="54">
        <v>4</v>
      </c>
      <c r="V65" s="54">
        <f t="shared" si="1"/>
        <v>86</v>
      </c>
      <c r="W65" s="55"/>
    </row>
    <row r="66" spans="1:23" ht="15.75" customHeight="1">
      <c r="A66" s="53">
        <v>58</v>
      </c>
      <c r="B66" s="54">
        <v>2</v>
      </c>
      <c r="C66" s="54">
        <v>2</v>
      </c>
      <c r="D66" s="54">
        <v>2</v>
      </c>
      <c r="E66" s="54">
        <v>2</v>
      </c>
      <c r="F66" s="54">
        <v>2</v>
      </c>
      <c r="G66" s="54">
        <v>2</v>
      </c>
      <c r="H66" s="54">
        <v>2</v>
      </c>
      <c r="I66" s="54">
        <v>2</v>
      </c>
      <c r="J66" s="54">
        <v>3</v>
      </c>
      <c r="K66" s="54">
        <v>3</v>
      </c>
      <c r="L66" s="54">
        <v>3</v>
      </c>
      <c r="M66" s="54">
        <v>3</v>
      </c>
      <c r="N66" s="54">
        <v>5</v>
      </c>
      <c r="O66" s="54">
        <v>5</v>
      </c>
      <c r="P66" s="54">
        <v>5</v>
      </c>
      <c r="Q66" s="54">
        <v>5</v>
      </c>
      <c r="R66" s="54">
        <v>5</v>
      </c>
      <c r="S66" s="54">
        <v>5</v>
      </c>
      <c r="T66" s="54">
        <v>5</v>
      </c>
      <c r="U66" s="54">
        <v>5</v>
      </c>
      <c r="V66" s="54">
        <f t="shared" si="1"/>
        <v>68</v>
      </c>
      <c r="W66" s="55"/>
    </row>
    <row r="67" spans="1:23" ht="17.25" customHeight="1">
      <c r="A67" s="56"/>
      <c r="B67" s="57">
        <f>SUM(B9:B66)</f>
        <v>248</v>
      </c>
      <c r="C67" s="57">
        <f t="shared" ref="C67:V67" si="2">SUM(C9:C66)</f>
        <v>257</v>
      </c>
      <c r="D67" s="57">
        <f t="shared" si="2"/>
        <v>256</v>
      </c>
      <c r="E67" s="57">
        <f t="shared" si="2"/>
        <v>259</v>
      </c>
      <c r="F67" s="57">
        <f t="shared" si="2"/>
        <v>255</v>
      </c>
      <c r="G67" s="57">
        <f t="shared" si="2"/>
        <v>263</v>
      </c>
      <c r="H67" s="57">
        <f t="shared" si="2"/>
        <v>300</v>
      </c>
      <c r="I67" s="57">
        <f t="shared" si="2"/>
        <v>255</v>
      </c>
      <c r="J67" s="57">
        <f t="shared" si="2"/>
        <v>255</v>
      </c>
      <c r="K67" s="57">
        <f t="shared" si="2"/>
        <v>256</v>
      </c>
      <c r="L67" s="57">
        <f t="shared" si="2"/>
        <v>256</v>
      </c>
      <c r="M67" s="57">
        <f t="shared" si="2"/>
        <v>253</v>
      </c>
      <c r="N67" s="57">
        <f t="shared" si="2"/>
        <v>258</v>
      </c>
      <c r="O67" s="57">
        <f t="shared" si="2"/>
        <v>253</v>
      </c>
      <c r="P67" s="57">
        <f t="shared" si="2"/>
        <v>257</v>
      </c>
      <c r="Q67" s="57">
        <f t="shared" si="2"/>
        <v>265</v>
      </c>
      <c r="R67" s="57">
        <f t="shared" si="2"/>
        <v>258</v>
      </c>
      <c r="S67" s="57">
        <f t="shared" si="2"/>
        <v>276</v>
      </c>
      <c r="T67" s="57">
        <f t="shared" si="2"/>
        <v>274</v>
      </c>
      <c r="U67" s="57">
        <f t="shared" si="2"/>
        <v>272</v>
      </c>
      <c r="V67" s="58">
        <f t="shared" si="2"/>
        <v>5226</v>
      </c>
      <c r="W67" s="59"/>
    </row>
    <row r="68" spans="1:23" s="44" customFormat="1" ht="17.25" customHeight="1">
      <c r="A68" s="60"/>
      <c r="B68" s="61">
        <f>AVERAGE(B67/58)</f>
        <v>4.2758620689655196</v>
      </c>
      <c r="C68" s="61">
        <f t="shared" ref="C68:U68" si="3">AVERAGE(C67/58)</f>
        <v>4.4310344827586201</v>
      </c>
      <c r="D68" s="61">
        <f t="shared" si="3"/>
        <v>4.4137931034482802</v>
      </c>
      <c r="E68" s="61">
        <f t="shared" si="3"/>
        <v>4.4655172413793096</v>
      </c>
      <c r="F68" s="61">
        <f t="shared" si="3"/>
        <v>4.3965517241379297</v>
      </c>
      <c r="G68" s="61">
        <f t="shared" si="3"/>
        <v>4.5344827586206904</v>
      </c>
      <c r="H68" s="61">
        <f t="shared" si="3"/>
        <v>5.1724137931034502</v>
      </c>
      <c r="I68" s="61">
        <f t="shared" si="3"/>
        <v>4.3965517241379297</v>
      </c>
      <c r="J68" s="61">
        <f t="shared" si="3"/>
        <v>4.3965517241379297</v>
      </c>
      <c r="K68" s="61">
        <f t="shared" si="3"/>
        <v>4.4137931034482802</v>
      </c>
      <c r="L68" s="61">
        <f t="shared" si="3"/>
        <v>4.4137931034482802</v>
      </c>
      <c r="M68" s="61">
        <f t="shared" si="3"/>
        <v>4.3620689655172402</v>
      </c>
      <c r="N68" s="61">
        <f t="shared" si="3"/>
        <v>4.4482758620689697</v>
      </c>
      <c r="O68" s="61">
        <f t="shared" si="3"/>
        <v>4.3620689655172402</v>
      </c>
      <c r="P68" s="61">
        <f t="shared" si="3"/>
        <v>4.4310344827586201</v>
      </c>
      <c r="Q68" s="61">
        <f t="shared" si="3"/>
        <v>4.5689655172413799</v>
      </c>
      <c r="R68" s="61">
        <f t="shared" si="3"/>
        <v>4.4482758620689697</v>
      </c>
      <c r="S68" s="61">
        <f t="shared" si="3"/>
        <v>4.7586206896551699</v>
      </c>
      <c r="T68" s="61">
        <f t="shared" si="3"/>
        <v>4.7241379310344804</v>
      </c>
      <c r="U68" s="61">
        <f t="shared" si="3"/>
        <v>4.68965517241379</v>
      </c>
      <c r="V68" s="62">
        <f>AVERAGE(B68:U68)</f>
        <v>4.5051724137931002</v>
      </c>
      <c r="W68" s="63"/>
    </row>
    <row r="69" spans="1:23" ht="15.75" customHeight="1">
      <c r="A69" s="64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  <c r="U69" s="66"/>
      <c r="V69" s="67"/>
      <c r="W69" s="55"/>
    </row>
    <row r="70" spans="1:23">
      <c r="A70" s="114" t="s">
        <v>8</v>
      </c>
      <c r="B70" s="68">
        <v>1.1000000000000001</v>
      </c>
      <c r="C70" s="68">
        <v>1.2</v>
      </c>
      <c r="D70" s="68">
        <v>1.3</v>
      </c>
      <c r="E70" s="68">
        <v>1.4</v>
      </c>
      <c r="F70" s="68">
        <v>1.5</v>
      </c>
      <c r="G70" s="68">
        <v>2.1</v>
      </c>
      <c r="H70" s="68">
        <v>2.2000000000000002</v>
      </c>
      <c r="I70" s="68">
        <v>2.2999999999999998</v>
      </c>
      <c r="J70" s="68">
        <v>2.4</v>
      </c>
      <c r="K70" s="68">
        <v>2.5</v>
      </c>
      <c r="L70" s="68">
        <v>3.1</v>
      </c>
      <c r="M70" s="68">
        <v>3.2</v>
      </c>
      <c r="N70" s="68">
        <v>3.3</v>
      </c>
      <c r="O70" s="68">
        <v>3.4</v>
      </c>
      <c r="P70" s="68">
        <v>3.5</v>
      </c>
      <c r="Q70" s="68">
        <v>4.0999999999999996</v>
      </c>
      <c r="R70" s="68">
        <v>4.2</v>
      </c>
      <c r="S70" s="68">
        <v>4.3</v>
      </c>
      <c r="T70" s="68">
        <v>4.4000000000000004</v>
      </c>
      <c r="U70" s="68">
        <v>4.5</v>
      </c>
      <c r="V70" s="117" t="s">
        <v>7</v>
      </c>
      <c r="W70" s="55"/>
    </row>
    <row r="71" spans="1:23" ht="27" customHeight="1">
      <c r="A71" s="115"/>
      <c r="B71" s="107" t="s">
        <v>9</v>
      </c>
      <c r="C71" s="107"/>
      <c r="D71" s="107"/>
      <c r="E71" s="107"/>
      <c r="F71" s="107"/>
      <c r="G71" s="108" t="s">
        <v>10</v>
      </c>
      <c r="H71" s="108"/>
      <c r="I71" s="108"/>
      <c r="J71" s="108"/>
      <c r="K71" s="108"/>
      <c r="L71" s="108" t="s">
        <v>11</v>
      </c>
      <c r="M71" s="108"/>
      <c r="N71" s="108"/>
      <c r="O71" s="108"/>
      <c r="P71" s="108"/>
      <c r="Q71" s="108" t="s">
        <v>12</v>
      </c>
      <c r="R71" s="108"/>
      <c r="S71" s="108"/>
      <c r="T71" s="108"/>
      <c r="U71" s="108"/>
      <c r="V71" s="118"/>
      <c r="W71" s="55"/>
    </row>
    <row r="72" spans="1:23" ht="28.5" customHeight="1">
      <c r="A72" s="116"/>
      <c r="B72" s="61">
        <v>4.2758620689655196</v>
      </c>
      <c r="C72" s="61">
        <v>4.4310344827586201</v>
      </c>
      <c r="D72" s="61">
        <v>4.4137931034482802</v>
      </c>
      <c r="E72" s="61">
        <v>4.4655172413793096</v>
      </c>
      <c r="F72" s="61">
        <v>4.3965517241379297</v>
      </c>
      <c r="G72" s="61">
        <v>4.5344827586206904</v>
      </c>
      <c r="H72" s="61">
        <v>5.1724137931034502</v>
      </c>
      <c r="I72" s="61">
        <v>4.3965517241379297</v>
      </c>
      <c r="J72" s="61">
        <v>4.3965517241379297</v>
      </c>
      <c r="K72" s="61">
        <v>4.4137931034482802</v>
      </c>
      <c r="L72" s="61">
        <v>4.4137931034482802</v>
      </c>
      <c r="M72" s="61">
        <v>4.3620689655172402</v>
      </c>
      <c r="N72" s="61">
        <v>4.4482758620689697</v>
      </c>
      <c r="O72" s="61">
        <v>4.3620689655172402</v>
      </c>
      <c r="P72" s="61">
        <v>4.4310344827586201</v>
      </c>
      <c r="Q72" s="61">
        <v>4.5689655172413799</v>
      </c>
      <c r="R72" s="61">
        <v>4.4482758620689697</v>
      </c>
      <c r="S72" s="61">
        <v>4.7586206896551699</v>
      </c>
      <c r="T72" s="61">
        <v>4.7241379310344804</v>
      </c>
      <c r="U72" s="61">
        <v>4.68965517241379</v>
      </c>
      <c r="V72" s="69">
        <v>4.51</v>
      </c>
      <c r="W72" s="55"/>
    </row>
    <row r="73" spans="1:23" ht="30.75" customHeight="1">
      <c r="A73" s="109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09"/>
      <c r="W73" s="55"/>
    </row>
    <row r="74" spans="1:23" ht="30" customHeight="1">
      <c r="A74" s="70" t="s">
        <v>13</v>
      </c>
      <c r="B74" s="71">
        <v>1.1000000000000001</v>
      </c>
      <c r="C74" s="71">
        <v>1.2</v>
      </c>
      <c r="D74" s="71">
        <v>1.3</v>
      </c>
      <c r="E74" s="71">
        <v>1.4</v>
      </c>
      <c r="F74" s="71">
        <v>1.5</v>
      </c>
      <c r="G74" s="71">
        <v>2.1</v>
      </c>
      <c r="H74" s="71">
        <v>2.2000000000000002</v>
      </c>
      <c r="I74" s="71">
        <v>2.2999999999999998</v>
      </c>
      <c r="J74" s="71">
        <v>2.4</v>
      </c>
      <c r="K74" s="71">
        <v>2.5</v>
      </c>
      <c r="L74" s="71">
        <v>3.1</v>
      </c>
      <c r="M74" s="71">
        <v>3.2</v>
      </c>
      <c r="N74" s="71">
        <v>3.3</v>
      </c>
      <c r="O74" s="71">
        <v>3.4</v>
      </c>
      <c r="P74" s="71">
        <v>3.5</v>
      </c>
      <c r="Q74" s="71">
        <v>4.0999999999999996</v>
      </c>
      <c r="R74" s="71">
        <v>4.2</v>
      </c>
      <c r="S74" s="71">
        <v>4.3</v>
      </c>
      <c r="T74" s="71">
        <v>4.4000000000000004</v>
      </c>
      <c r="U74" s="71">
        <v>4.5</v>
      </c>
      <c r="V74" s="71" t="s">
        <v>6</v>
      </c>
      <c r="W74" s="55"/>
    </row>
    <row r="75" spans="1:23">
      <c r="A75" s="68">
        <v>5</v>
      </c>
      <c r="B75" s="72">
        <v>36</v>
      </c>
      <c r="C75" s="72">
        <v>40</v>
      </c>
      <c r="D75" s="72">
        <v>44</v>
      </c>
      <c r="E75" s="72">
        <v>41</v>
      </c>
      <c r="F75" s="72">
        <v>39</v>
      </c>
      <c r="G75" s="72">
        <v>47</v>
      </c>
      <c r="H75" s="72">
        <v>47</v>
      </c>
      <c r="I75" s="72">
        <v>41</v>
      </c>
      <c r="J75" s="72">
        <v>42</v>
      </c>
      <c r="K75" s="72">
        <v>41</v>
      </c>
      <c r="L75" s="72">
        <v>39</v>
      </c>
      <c r="M75" s="72">
        <v>39</v>
      </c>
      <c r="N75" s="72">
        <v>39</v>
      </c>
      <c r="O75" s="72">
        <v>41</v>
      </c>
      <c r="P75" s="72">
        <v>43</v>
      </c>
      <c r="Q75" s="72">
        <v>47</v>
      </c>
      <c r="R75" s="72">
        <v>42</v>
      </c>
      <c r="S75" s="72">
        <v>47</v>
      </c>
      <c r="T75" s="72">
        <v>43</v>
      </c>
      <c r="U75" s="72">
        <v>43</v>
      </c>
      <c r="V75" s="72">
        <v>841</v>
      </c>
      <c r="W75" s="55"/>
    </row>
    <row r="76" spans="1:23">
      <c r="A76" s="68">
        <v>4</v>
      </c>
      <c r="B76" s="72">
        <v>14</v>
      </c>
      <c r="C76" s="72">
        <v>14</v>
      </c>
      <c r="D76" s="72">
        <v>7</v>
      </c>
      <c r="E76" s="72">
        <v>14</v>
      </c>
      <c r="F76" s="72">
        <v>14</v>
      </c>
      <c r="G76" s="72">
        <v>6</v>
      </c>
      <c r="H76" s="72">
        <v>7</v>
      </c>
      <c r="I76" s="72">
        <v>12</v>
      </c>
      <c r="J76" s="72">
        <v>11</v>
      </c>
      <c r="K76" s="72">
        <v>14</v>
      </c>
      <c r="L76" s="72">
        <v>19</v>
      </c>
      <c r="M76" s="72">
        <v>17</v>
      </c>
      <c r="N76" s="72">
        <v>18</v>
      </c>
      <c r="O76" s="72">
        <v>11</v>
      </c>
      <c r="P76" s="72">
        <v>10</v>
      </c>
      <c r="Q76" s="72">
        <v>9</v>
      </c>
      <c r="R76" s="72">
        <v>12</v>
      </c>
      <c r="S76" s="72">
        <v>10</v>
      </c>
      <c r="T76" s="72">
        <v>14</v>
      </c>
      <c r="U76" s="72">
        <v>12</v>
      </c>
      <c r="V76" s="72">
        <v>245</v>
      </c>
      <c r="W76" s="55"/>
    </row>
    <row r="77" spans="1:23">
      <c r="A77" s="68">
        <v>3</v>
      </c>
      <c r="B77" s="72">
        <v>7</v>
      </c>
      <c r="C77" s="72">
        <v>3</v>
      </c>
      <c r="D77" s="72">
        <v>5</v>
      </c>
      <c r="E77" s="72">
        <v>3</v>
      </c>
      <c r="F77" s="72">
        <v>5</v>
      </c>
      <c r="G77" s="72">
        <v>5</v>
      </c>
      <c r="H77" s="72">
        <v>2</v>
      </c>
      <c r="I77" s="72">
        <v>5</v>
      </c>
      <c r="J77" s="72">
        <v>4</v>
      </c>
      <c r="K77" s="72">
        <v>2</v>
      </c>
      <c r="L77" s="72">
        <v>0</v>
      </c>
      <c r="M77" s="72">
        <v>2</v>
      </c>
      <c r="N77" s="72">
        <v>1</v>
      </c>
      <c r="O77" s="72">
        <v>4</v>
      </c>
      <c r="P77" s="72">
        <v>3</v>
      </c>
      <c r="Q77" s="72">
        <v>1</v>
      </c>
      <c r="R77" s="72">
        <v>3</v>
      </c>
      <c r="S77" s="72">
        <v>1</v>
      </c>
      <c r="T77" s="72">
        <v>1</v>
      </c>
      <c r="U77" s="72">
        <v>3</v>
      </c>
      <c r="V77" s="72">
        <v>60</v>
      </c>
      <c r="W77" s="55"/>
    </row>
    <row r="78" spans="1:23">
      <c r="A78" s="68">
        <v>2</v>
      </c>
      <c r="B78" s="72">
        <v>0</v>
      </c>
      <c r="C78" s="72">
        <v>1</v>
      </c>
      <c r="D78" s="72">
        <v>1</v>
      </c>
      <c r="E78" s="72">
        <v>0</v>
      </c>
      <c r="F78" s="72">
        <v>0</v>
      </c>
      <c r="G78" s="72">
        <v>0</v>
      </c>
      <c r="H78" s="72">
        <v>2</v>
      </c>
      <c r="I78" s="72">
        <v>0</v>
      </c>
      <c r="J78" s="72">
        <v>1</v>
      </c>
      <c r="K78" s="72">
        <v>0</v>
      </c>
      <c r="L78" s="72">
        <v>0</v>
      </c>
      <c r="M78" s="72">
        <v>0</v>
      </c>
      <c r="N78" s="72">
        <v>0</v>
      </c>
      <c r="O78" s="72">
        <v>2</v>
      </c>
      <c r="P78" s="72">
        <v>2</v>
      </c>
      <c r="Q78" s="72">
        <v>1</v>
      </c>
      <c r="R78" s="72">
        <v>1</v>
      </c>
      <c r="S78" s="72">
        <v>0</v>
      </c>
      <c r="T78" s="72">
        <v>0</v>
      </c>
      <c r="U78" s="72">
        <v>0</v>
      </c>
      <c r="V78" s="72">
        <v>11</v>
      </c>
      <c r="W78" s="55"/>
    </row>
    <row r="79" spans="1:23">
      <c r="A79" s="68">
        <v>1</v>
      </c>
      <c r="B79" s="72">
        <v>1</v>
      </c>
      <c r="C79" s="72">
        <v>0</v>
      </c>
      <c r="D79" s="72">
        <v>1</v>
      </c>
      <c r="E79" s="72">
        <v>0</v>
      </c>
      <c r="F79" s="72">
        <v>0</v>
      </c>
      <c r="G79" s="72">
        <v>0</v>
      </c>
      <c r="H79" s="72">
        <v>0</v>
      </c>
      <c r="I79" s="72">
        <v>0</v>
      </c>
      <c r="J79" s="72">
        <v>0</v>
      </c>
      <c r="K79" s="72">
        <v>1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3</v>
      </c>
      <c r="W79" s="55"/>
    </row>
    <row r="80" spans="1:23" ht="15.75">
      <c r="A80" s="73"/>
      <c r="B80" s="73"/>
      <c r="C80" s="73"/>
      <c r="D80" s="73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7"/>
      <c r="W80" s="55"/>
    </row>
    <row r="81" spans="1:2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spans="1:22" s="28" customFormat="1" ht="15.75">
      <c r="A82" s="111" t="s">
        <v>9</v>
      </c>
      <c r="B82" s="112"/>
      <c r="C82" s="113"/>
      <c r="D82" s="61">
        <v>4.2758620689655196</v>
      </c>
      <c r="E82" s="61">
        <v>4.4310344827586201</v>
      </c>
      <c r="F82" s="61">
        <v>4.4137931034482802</v>
      </c>
      <c r="G82" s="61">
        <v>4.4655172413793096</v>
      </c>
      <c r="H82" s="61">
        <v>4.3965517241379297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spans="1:22" ht="15.75">
      <c r="A83" s="111" t="s">
        <v>10</v>
      </c>
      <c r="B83" s="112"/>
      <c r="C83" s="113"/>
      <c r="D83" s="61">
        <v>4.5344827586206904</v>
      </c>
      <c r="E83" s="61">
        <v>5.1724137931034502</v>
      </c>
      <c r="F83" s="61">
        <v>4.3965517241379297</v>
      </c>
      <c r="G83" s="61">
        <v>4.3965517241379297</v>
      </c>
      <c r="H83" s="61">
        <v>4.4137931034482802</v>
      </c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spans="1:22" ht="15.75">
      <c r="A84" s="111" t="s">
        <v>14</v>
      </c>
      <c r="B84" s="112"/>
      <c r="C84" s="113"/>
      <c r="D84" s="61">
        <v>4.4137931034482802</v>
      </c>
      <c r="E84" s="61">
        <v>4.3620689655172402</v>
      </c>
      <c r="F84" s="61">
        <v>4.4482758620689697</v>
      </c>
      <c r="G84" s="61">
        <v>4.3620689655172402</v>
      </c>
      <c r="H84" s="61">
        <v>4.4310344827586201</v>
      </c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spans="1:22" ht="15.75">
      <c r="A85" s="111" t="s">
        <v>12</v>
      </c>
      <c r="B85" s="112"/>
      <c r="C85" s="113"/>
      <c r="D85" s="61">
        <v>4.5689655172413799</v>
      </c>
      <c r="E85" s="61">
        <v>4.4482758620689697</v>
      </c>
      <c r="F85" s="61">
        <v>4.7586206896551699</v>
      </c>
      <c r="G85" s="61">
        <v>4.7241379310344804</v>
      </c>
      <c r="H85" s="61">
        <v>4.68965517241379</v>
      </c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spans="1:22" ht="15.75">
      <c r="A86" s="74"/>
      <c r="B86" s="74"/>
      <c r="C86" s="74"/>
      <c r="D86" s="75"/>
      <c r="E86" s="75"/>
      <c r="F86" s="75"/>
      <c r="G86" s="75"/>
      <c r="H86" s="75"/>
    </row>
    <row r="94" spans="1:22" ht="15.75">
      <c r="A94" s="76" t="s">
        <v>15</v>
      </c>
      <c r="B94" s="76"/>
      <c r="C94" s="76"/>
      <c r="D94" s="76"/>
      <c r="E94" s="76"/>
      <c r="F94" s="76"/>
      <c r="G94" s="76"/>
      <c r="H94" s="76"/>
      <c r="I94" s="76"/>
      <c r="J94" s="76" t="s">
        <v>16</v>
      </c>
      <c r="K94" s="76"/>
      <c r="L94" s="76"/>
      <c r="M94" s="76"/>
      <c r="N94" s="76"/>
      <c r="O94" s="76"/>
      <c r="P94" s="76"/>
      <c r="Q94" s="76"/>
      <c r="R94" s="76"/>
      <c r="S94" s="76"/>
      <c r="T94" s="76" t="s">
        <v>17</v>
      </c>
      <c r="U94" s="76"/>
      <c r="V94" s="76"/>
    </row>
    <row r="95" spans="1:22" s="4" customFormat="1" ht="15.7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</sheetData>
  <mergeCells count="14">
    <mergeCell ref="A73:V73"/>
    <mergeCell ref="A82:C82"/>
    <mergeCell ref="A83:C83"/>
    <mergeCell ref="A84:C84"/>
    <mergeCell ref="A85:C85"/>
    <mergeCell ref="A4:V4"/>
    <mergeCell ref="A5:V5"/>
    <mergeCell ref="F6:P6"/>
    <mergeCell ref="B71:F71"/>
    <mergeCell ref="G71:K71"/>
    <mergeCell ref="L71:P71"/>
    <mergeCell ref="Q71:U71"/>
    <mergeCell ref="A70:A72"/>
    <mergeCell ref="V70:V71"/>
  </mergeCells>
  <pageMargins left="0.70866141732283505" right="0.27" top="0.26" bottom="0.196850393700787" header="0.23" footer="0.2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V96"/>
  <sheetViews>
    <sheetView topLeftCell="A66" workbookViewId="0">
      <selection activeCell="M95" sqref="M95"/>
    </sheetView>
  </sheetViews>
  <sheetFormatPr defaultColWidth="9" defaultRowHeight="15"/>
  <cols>
    <col min="1" max="22" width="8.5703125" style="28" customWidth="1"/>
    <col min="23" max="23" width="7.28515625" style="28" customWidth="1"/>
    <col min="24" max="16384" width="9" style="28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/>
      <c r="B6" s="2"/>
      <c r="C6" s="2"/>
      <c r="D6" s="2"/>
      <c r="E6" s="2"/>
      <c r="F6" s="88" t="s">
        <v>2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30"/>
      <c r="M7" s="3"/>
      <c r="N7" s="3"/>
      <c r="O7" s="3" t="s">
        <v>34</v>
      </c>
      <c r="P7" s="3"/>
      <c r="Q7" s="30"/>
      <c r="R7" s="30"/>
      <c r="S7" s="30"/>
      <c r="T7" s="30"/>
      <c r="U7" s="6"/>
      <c r="V7" s="3"/>
    </row>
    <row r="8" spans="1:22" ht="15.75" customHeight="1">
      <c r="A8" s="7" t="s">
        <v>5</v>
      </c>
      <c r="B8" s="8">
        <v>1.1000000000000001</v>
      </c>
      <c r="C8" s="8">
        <v>1.2</v>
      </c>
      <c r="D8" s="8">
        <v>1.3</v>
      </c>
      <c r="E8" s="8">
        <v>1.4</v>
      </c>
      <c r="F8" s="8">
        <v>1.5</v>
      </c>
      <c r="G8" s="8">
        <v>2.1</v>
      </c>
      <c r="H8" s="8">
        <v>2.2000000000000002</v>
      </c>
      <c r="I8" s="8">
        <v>2.2999999999999998</v>
      </c>
      <c r="J8" s="8">
        <v>2.4</v>
      </c>
      <c r="K8" s="8">
        <v>2.5</v>
      </c>
      <c r="L8" s="8">
        <v>3.1</v>
      </c>
      <c r="M8" s="8">
        <v>3.2</v>
      </c>
      <c r="N8" s="8">
        <v>3.3</v>
      </c>
      <c r="O8" s="8">
        <v>3.4</v>
      </c>
      <c r="P8" s="8">
        <v>3.5</v>
      </c>
      <c r="Q8" s="8">
        <v>4.0999999999999996</v>
      </c>
      <c r="R8" s="8">
        <v>4.2</v>
      </c>
      <c r="S8" s="8">
        <v>4.3</v>
      </c>
      <c r="T8" s="8">
        <v>4.4000000000000004</v>
      </c>
      <c r="U8" s="8">
        <v>4.5</v>
      </c>
      <c r="V8" s="9" t="s">
        <v>6</v>
      </c>
    </row>
    <row r="9" spans="1:22" ht="15.75" customHeight="1">
      <c r="A9" s="10">
        <v>1</v>
      </c>
      <c r="B9" s="12">
        <v>5</v>
      </c>
      <c r="C9" s="12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4</v>
      </c>
      <c r="J9" s="11">
        <v>5</v>
      </c>
      <c r="K9" s="11">
        <v>4</v>
      </c>
      <c r="L9" s="11">
        <v>4</v>
      </c>
      <c r="M9" s="11">
        <v>5</v>
      </c>
      <c r="N9" s="11">
        <v>4</v>
      </c>
      <c r="O9" s="11">
        <v>5</v>
      </c>
      <c r="P9" s="11">
        <v>4</v>
      </c>
      <c r="Q9" s="11">
        <v>5</v>
      </c>
      <c r="R9" s="11">
        <v>4</v>
      </c>
      <c r="S9" s="11">
        <v>5</v>
      </c>
      <c r="T9" s="11">
        <v>4</v>
      </c>
      <c r="U9" s="11">
        <v>5</v>
      </c>
      <c r="V9" s="11">
        <f t="shared" ref="V9:V63" si="0">SUM(B9:U9)</f>
        <v>93</v>
      </c>
    </row>
    <row r="10" spans="1:22" ht="15.75" customHeight="1">
      <c r="A10" s="10">
        <v>2</v>
      </c>
      <c r="B10" s="12">
        <v>5</v>
      </c>
      <c r="C10" s="12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1">
        <v>5</v>
      </c>
      <c r="K10" s="11">
        <v>5</v>
      </c>
      <c r="L10" s="11">
        <v>5</v>
      </c>
      <c r="M10" s="11">
        <v>5</v>
      </c>
      <c r="N10" s="11">
        <v>5</v>
      </c>
      <c r="O10" s="11">
        <v>5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f t="shared" si="0"/>
        <v>100</v>
      </c>
    </row>
    <row r="11" spans="1:22" ht="15.75" customHeight="1">
      <c r="A11" s="10">
        <v>3</v>
      </c>
      <c r="B11" s="12">
        <v>5</v>
      </c>
      <c r="C11" s="12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1">
        <v>5</v>
      </c>
      <c r="K11" s="11">
        <v>5</v>
      </c>
      <c r="L11" s="11">
        <v>5</v>
      </c>
      <c r="M11" s="11">
        <v>5</v>
      </c>
      <c r="N11" s="11">
        <v>4</v>
      </c>
      <c r="O11" s="11">
        <v>5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f t="shared" si="0"/>
        <v>99</v>
      </c>
    </row>
    <row r="12" spans="1:22" ht="15.75" customHeight="1">
      <c r="A12" s="10">
        <v>4</v>
      </c>
      <c r="B12" s="12">
        <v>5</v>
      </c>
      <c r="C12" s="12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1">
        <v>5</v>
      </c>
      <c r="K12" s="11">
        <v>5</v>
      </c>
      <c r="L12" s="11">
        <v>5</v>
      </c>
      <c r="M12" s="11">
        <v>5</v>
      </c>
      <c r="N12" s="11">
        <v>5</v>
      </c>
      <c r="O12" s="11">
        <v>5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f t="shared" si="0"/>
        <v>100</v>
      </c>
    </row>
    <row r="13" spans="1:22" ht="15.75" customHeight="1">
      <c r="A13" s="10">
        <v>5</v>
      </c>
      <c r="B13" s="12">
        <v>5</v>
      </c>
      <c r="C13" s="12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1">
        <v>5</v>
      </c>
      <c r="K13" s="11">
        <v>5</v>
      </c>
      <c r="L13" s="11">
        <v>5</v>
      </c>
      <c r="M13" s="11">
        <v>5</v>
      </c>
      <c r="N13" s="11">
        <v>5</v>
      </c>
      <c r="O13" s="11">
        <v>5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f t="shared" si="0"/>
        <v>100</v>
      </c>
    </row>
    <row r="14" spans="1:22" ht="15.75" customHeight="1">
      <c r="A14" s="11">
        <v>6</v>
      </c>
      <c r="B14" s="12">
        <v>3</v>
      </c>
      <c r="C14" s="12">
        <v>4</v>
      </c>
      <c r="D14" s="11">
        <v>3</v>
      </c>
      <c r="E14" s="11">
        <v>2</v>
      </c>
      <c r="F14" s="11">
        <v>5</v>
      </c>
      <c r="G14" s="11">
        <v>3</v>
      </c>
      <c r="H14" s="11">
        <v>3</v>
      </c>
      <c r="I14" s="11">
        <v>4</v>
      </c>
      <c r="J14" s="11">
        <v>3</v>
      </c>
      <c r="K14" s="11">
        <v>4</v>
      </c>
      <c r="L14" s="11">
        <v>5</v>
      </c>
      <c r="M14" s="11">
        <v>2</v>
      </c>
      <c r="N14" s="11">
        <v>4</v>
      </c>
      <c r="O14" s="11">
        <v>3</v>
      </c>
      <c r="P14" s="11">
        <v>3</v>
      </c>
      <c r="Q14" s="11">
        <v>4</v>
      </c>
      <c r="R14" s="11">
        <v>3</v>
      </c>
      <c r="S14" s="11">
        <v>3</v>
      </c>
      <c r="T14" s="11">
        <v>4</v>
      </c>
      <c r="U14" s="11">
        <v>3</v>
      </c>
      <c r="V14" s="11">
        <f t="shared" si="0"/>
        <v>68</v>
      </c>
    </row>
    <row r="15" spans="1:22" ht="15.75" customHeight="1">
      <c r="A15" s="10">
        <v>7</v>
      </c>
      <c r="B15" s="12">
        <v>5</v>
      </c>
      <c r="C15" s="12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1">
        <v>5</v>
      </c>
      <c r="K15" s="11">
        <v>5</v>
      </c>
      <c r="L15" s="11">
        <v>5</v>
      </c>
      <c r="M15" s="11">
        <v>5</v>
      </c>
      <c r="N15" s="11">
        <v>5</v>
      </c>
      <c r="O15" s="11">
        <v>5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f t="shared" si="0"/>
        <v>100</v>
      </c>
    </row>
    <row r="16" spans="1:22" ht="15.75" customHeight="1">
      <c r="A16" s="10">
        <v>8</v>
      </c>
      <c r="B16" s="12">
        <v>5</v>
      </c>
      <c r="C16" s="12">
        <v>4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1">
        <v>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4</v>
      </c>
      <c r="S16" s="11">
        <v>4</v>
      </c>
      <c r="T16" s="11">
        <v>4</v>
      </c>
      <c r="U16" s="11">
        <v>5</v>
      </c>
      <c r="V16" s="11">
        <f t="shared" si="0"/>
        <v>94</v>
      </c>
    </row>
    <row r="17" spans="1:22" ht="15.75" customHeight="1">
      <c r="A17" s="10">
        <v>9</v>
      </c>
      <c r="B17" s="12">
        <v>4</v>
      </c>
      <c r="C17" s="12">
        <v>5</v>
      </c>
      <c r="D17" s="11">
        <v>5</v>
      </c>
      <c r="E17" s="11">
        <v>4</v>
      </c>
      <c r="F17" s="11">
        <v>5</v>
      </c>
      <c r="G17" s="11">
        <v>4</v>
      </c>
      <c r="H17" s="11">
        <v>5</v>
      </c>
      <c r="I17" s="11">
        <v>4</v>
      </c>
      <c r="J17" s="11">
        <v>5</v>
      </c>
      <c r="K17" s="11">
        <v>5</v>
      </c>
      <c r="L17" s="11">
        <v>4</v>
      </c>
      <c r="M17" s="11">
        <v>5</v>
      </c>
      <c r="N17" s="11">
        <v>4</v>
      </c>
      <c r="O17" s="11">
        <v>4</v>
      </c>
      <c r="P17" s="11">
        <v>5</v>
      </c>
      <c r="Q17" s="11">
        <v>5</v>
      </c>
      <c r="R17" s="11">
        <v>5</v>
      </c>
      <c r="S17" s="11">
        <v>4</v>
      </c>
      <c r="T17" s="11">
        <v>5</v>
      </c>
      <c r="U17" s="11">
        <v>4</v>
      </c>
      <c r="V17" s="11">
        <f t="shared" si="0"/>
        <v>91</v>
      </c>
    </row>
    <row r="18" spans="1:22" ht="15.75" customHeight="1">
      <c r="A18" s="10">
        <v>10</v>
      </c>
      <c r="B18" s="12">
        <v>5</v>
      </c>
      <c r="C18" s="12">
        <v>4</v>
      </c>
      <c r="D18" s="11">
        <v>5</v>
      </c>
      <c r="E18" s="11">
        <v>4</v>
      </c>
      <c r="F18" s="11">
        <v>4</v>
      </c>
      <c r="G18" s="11">
        <v>5</v>
      </c>
      <c r="H18" s="11">
        <v>5</v>
      </c>
      <c r="I18" s="11">
        <v>5</v>
      </c>
      <c r="J18" s="11">
        <v>5</v>
      </c>
      <c r="K18" s="11">
        <v>5</v>
      </c>
      <c r="L18" s="11">
        <v>5</v>
      </c>
      <c r="M18" s="11">
        <v>5</v>
      </c>
      <c r="N18" s="11">
        <v>5</v>
      </c>
      <c r="O18" s="11">
        <v>5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f t="shared" si="0"/>
        <v>97</v>
      </c>
    </row>
    <row r="19" spans="1:22" ht="15.75" customHeight="1">
      <c r="A19" s="10">
        <v>11</v>
      </c>
      <c r="B19" s="12">
        <v>5</v>
      </c>
      <c r="C19" s="12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1">
        <v>5</v>
      </c>
      <c r="K19" s="11">
        <v>5</v>
      </c>
      <c r="L19" s="11">
        <v>5</v>
      </c>
      <c r="M19" s="11">
        <v>5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f t="shared" si="0"/>
        <v>100</v>
      </c>
    </row>
    <row r="20" spans="1:22" ht="15.75" customHeight="1">
      <c r="A20" s="10">
        <v>12</v>
      </c>
      <c r="B20" s="12">
        <v>5</v>
      </c>
      <c r="C20" s="12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1">
        <v>5</v>
      </c>
      <c r="K20" s="11">
        <v>5</v>
      </c>
      <c r="L20" s="11">
        <v>5</v>
      </c>
      <c r="M20" s="11">
        <v>5</v>
      </c>
      <c r="N20" s="11">
        <v>5</v>
      </c>
      <c r="O20" s="11">
        <v>5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f t="shared" si="0"/>
        <v>100</v>
      </c>
    </row>
    <row r="21" spans="1:22" ht="15.75" customHeight="1">
      <c r="A21" s="10">
        <v>13</v>
      </c>
      <c r="B21" s="12">
        <v>5</v>
      </c>
      <c r="C21" s="12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1">
        <v>5</v>
      </c>
      <c r="K21" s="11">
        <v>5</v>
      </c>
      <c r="L21" s="11">
        <v>5</v>
      </c>
      <c r="M21" s="11">
        <v>5</v>
      </c>
      <c r="N21" s="11">
        <v>5</v>
      </c>
      <c r="O21" s="11">
        <v>5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f t="shared" si="0"/>
        <v>100</v>
      </c>
    </row>
    <row r="22" spans="1:22" ht="15.75" customHeight="1">
      <c r="A22" s="10">
        <v>14</v>
      </c>
      <c r="B22" s="12">
        <v>5</v>
      </c>
      <c r="C22" s="12">
        <v>4</v>
      </c>
      <c r="D22" s="11">
        <v>4</v>
      </c>
      <c r="E22" s="11">
        <v>5</v>
      </c>
      <c r="F22" s="11">
        <v>4</v>
      </c>
      <c r="G22" s="11">
        <v>3</v>
      </c>
      <c r="H22" s="11">
        <v>5</v>
      </c>
      <c r="I22" s="11">
        <v>4</v>
      </c>
      <c r="J22" s="11">
        <v>3</v>
      </c>
      <c r="K22" s="11">
        <v>3</v>
      </c>
      <c r="L22" s="11">
        <v>5</v>
      </c>
      <c r="M22" s="11">
        <v>4</v>
      </c>
      <c r="N22" s="11">
        <v>3</v>
      </c>
      <c r="O22" s="11">
        <v>4</v>
      </c>
      <c r="P22" s="11">
        <v>5</v>
      </c>
      <c r="Q22" s="11">
        <v>5</v>
      </c>
      <c r="R22" s="11">
        <v>4</v>
      </c>
      <c r="S22" s="11">
        <v>4</v>
      </c>
      <c r="T22" s="11">
        <v>3</v>
      </c>
      <c r="U22" s="11">
        <v>5</v>
      </c>
      <c r="V22" s="11">
        <f t="shared" si="0"/>
        <v>82</v>
      </c>
    </row>
    <row r="23" spans="1:22" ht="15.75" customHeight="1">
      <c r="A23" s="10">
        <v>15</v>
      </c>
      <c r="B23" s="12">
        <v>4</v>
      </c>
      <c r="C23" s="12">
        <v>4</v>
      </c>
      <c r="D23" s="11">
        <v>4</v>
      </c>
      <c r="E23" s="11">
        <v>4</v>
      </c>
      <c r="F23" s="11">
        <v>4</v>
      </c>
      <c r="G23" s="11">
        <v>4</v>
      </c>
      <c r="H23" s="11">
        <v>4</v>
      </c>
      <c r="I23" s="11">
        <v>4</v>
      </c>
      <c r="J23" s="11">
        <v>4</v>
      </c>
      <c r="K23" s="11">
        <v>4</v>
      </c>
      <c r="L23" s="11">
        <v>4</v>
      </c>
      <c r="M23" s="11">
        <v>4</v>
      </c>
      <c r="N23" s="11">
        <v>4</v>
      </c>
      <c r="O23" s="11">
        <v>4</v>
      </c>
      <c r="P23" s="11">
        <v>4</v>
      </c>
      <c r="Q23" s="11">
        <v>4</v>
      </c>
      <c r="R23" s="11">
        <v>4</v>
      </c>
      <c r="S23" s="11">
        <v>4</v>
      </c>
      <c r="T23" s="11">
        <v>4</v>
      </c>
      <c r="U23" s="11">
        <v>4</v>
      </c>
      <c r="V23" s="11">
        <f t="shared" si="0"/>
        <v>80</v>
      </c>
    </row>
    <row r="24" spans="1:22" ht="15.75" customHeight="1">
      <c r="A24" s="10">
        <v>16</v>
      </c>
      <c r="B24" s="12">
        <v>5</v>
      </c>
      <c r="C24" s="12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1">
        <v>5</v>
      </c>
      <c r="K24" s="11">
        <v>5</v>
      </c>
      <c r="L24" s="11">
        <v>5</v>
      </c>
      <c r="M24" s="11">
        <v>5</v>
      </c>
      <c r="N24" s="11">
        <v>5</v>
      </c>
      <c r="O24" s="11">
        <v>5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f t="shared" si="0"/>
        <v>100</v>
      </c>
    </row>
    <row r="25" spans="1:22" ht="15.75" customHeight="1">
      <c r="A25" s="10">
        <v>17</v>
      </c>
      <c r="B25" s="12">
        <v>5</v>
      </c>
      <c r="C25" s="12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1">
        <v>5</v>
      </c>
      <c r="K25" s="11">
        <v>5</v>
      </c>
      <c r="L25" s="11">
        <v>5</v>
      </c>
      <c r="M25" s="11">
        <v>5</v>
      </c>
      <c r="N25" s="11">
        <v>5</v>
      </c>
      <c r="O25" s="11">
        <v>5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f t="shared" si="0"/>
        <v>100</v>
      </c>
    </row>
    <row r="26" spans="1:22" ht="15.75" customHeight="1">
      <c r="A26" s="10">
        <v>18</v>
      </c>
      <c r="B26" s="12">
        <v>3</v>
      </c>
      <c r="C26" s="12">
        <v>4</v>
      </c>
      <c r="D26" s="11">
        <v>5</v>
      </c>
      <c r="E26" s="11">
        <v>5</v>
      </c>
      <c r="F26" s="11">
        <v>5</v>
      </c>
      <c r="G26" s="11">
        <v>4</v>
      </c>
      <c r="H26" s="11">
        <v>5</v>
      </c>
      <c r="I26" s="11">
        <v>4</v>
      </c>
      <c r="J26" s="11">
        <v>5</v>
      </c>
      <c r="K26" s="11">
        <v>5</v>
      </c>
      <c r="L26" s="11">
        <v>4</v>
      </c>
      <c r="M26" s="11">
        <v>5</v>
      </c>
      <c r="N26" s="11">
        <v>5</v>
      </c>
      <c r="O26" s="11">
        <v>5</v>
      </c>
      <c r="P26" s="11">
        <v>5</v>
      </c>
      <c r="Q26" s="11">
        <v>4</v>
      </c>
      <c r="R26" s="11">
        <v>5</v>
      </c>
      <c r="S26" s="11">
        <v>5</v>
      </c>
      <c r="T26" s="11">
        <v>4</v>
      </c>
      <c r="U26" s="11">
        <v>4</v>
      </c>
      <c r="V26" s="11">
        <f t="shared" si="0"/>
        <v>91</v>
      </c>
    </row>
    <row r="27" spans="1:22" ht="15.75" customHeight="1">
      <c r="A27" s="10">
        <v>19</v>
      </c>
      <c r="B27" s="12">
        <v>4</v>
      </c>
      <c r="C27" s="12">
        <v>4</v>
      </c>
      <c r="D27" s="11">
        <v>4</v>
      </c>
      <c r="E27" s="11">
        <v>4</v>
      </c>
      <c r="F27" s="11">
        <v>4</v>
      </c>
      <c r="G27" s="11">
        <v>4</v>
      </c>
      <c r="H27" s="11">
        <v>4</v>
      </c>
      <c r="I27" s="11">
        <v>4</v>
      </c>
      <c r="J27" s="11">
        <v>4</v>
      </c>
      <c r="K27" s="11">
        <v>4</v>
      </c>
      <c r="L27" s="11">
        <v>4</v>
      </c>
      <c r="M27" s="11">
        <v>4</v>
      </c>
      <c r="N27" s="11">
        <v>4</v>
      </c>
      <c r="O27" s="11">
        <v>4</v>
      </c>
      <c r="P27" s="11">
        <v>4</v>
      </c>
      <c r="Q27" s="11">
        <v>4</v>
      </c>
      <c r="R27" s="11">
        <v>4</v>
      </c>
      <c r="S27" s="11">
        <v>4</v>
      </c>
      <c r="T27" s="11">
        <v>4</v>
      </c>
      <c r="U27" s="11">
        <v>4</v>
      </c>
      <c r="V27" s="11">
        <f t="shared" si="0"/>
        <v>80</v>
      </c>
    </row>
    <row r="28" spans="1:22" ht="15.75" customHeight="1">
      <c r="A28" s="10">
        <v>20</v>
      </c>
      <c r="B28" s="12">
        <v>5</v>
      </c>
      <c r="C28" s="12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1">
        <v>5</v>
      </c>
      <c r="K28" s="11">
        <v>5</v>
      </c>
      <c r="L28" s="11">
        <v>5</v>
      </c>
      <c r="M28" s="11">
        <v>5</v>
      </c>
      <c r="N28" s="11">
        <v>5</v>
      </c>
      <c r="O28" s="11">
        <v>5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f t="shared" si="0"/>
        <v>100</v>
      </c>
    </row>
    <row r="29" spans="1:22" ht="15.75" customHeight="1">
      <c r="A29" s="10">
        <v>21</v>
      </c>
      <c r="B29" s="12">
        <v>4</v>
      </c>
      <c r="C29" s="12">
        <v>4</v>
      </c>
      <c r="D29" s="11">
        <v>4</v>
      </c>
      <c r="E29" s="11">
        <v>5</v>
      </c>
      <c r="F29" s="11">
        <v>3</v>
      </c>
      <c r="G29" s="11">
        <v>4</v>
      </c>
      <c r="H29" s="11">
        <v>4</v>
      </c>
      <c r="I29" s="11">
        <v>4</v>
      </c>
      <c r="J29" s="11">
        <v>4</v>
      </c>
      <c r="K29" s="11">
        <v>4</v>
      </c>
      <c r="L29" s="11">
        <v>5</v>
      </c>
      <c r="M29" s="11">
        <v>4</v>
      </c>
      <c r="N29" s="11">
        <v>4</v>
      </c>
      <c r="O29" s="11">
        <v>5</v>
      </c>
      <c r="P29" s="11">
        <v>3</v>
      </c>
      <c r="Q29" s="11">
        <v>5</v>
      </c>
      <c r="R29" s="11">
        <v>4</v>
      </c>
      <c r="S29" s="11">
        <v>4</v>
      </c>
      <c r="T29" s="11">
        <v>3</v>
      </c>
      <c r="U29" s="11">
        <v>5</v>
      </c>
      <c r="V29" s="11">
        <f t="shared" si="0"/>
        <v>82</v>
      </c>
    </row>
    <row r="30" spans="1:22" ht="15.75" customHeight="1">
      <c r="A30" s="10">
        <v>22</v>
      </c>
      <c r="B30" s="12">
        <v>5</v>
      </c>
      <c r="C30" s="12">
        <v>5</v>
      </c>
      <c r="D30" s="11">
        <v>5</v>
      </c>
      <c r="E30" s="11">
        <v>5</v>
      </c>
      <c r="F30" s="11">
        <v>4</v>
      </c>
      <c r="G30" s="11">
        <v>5</v>
      </c>
      <c r="H30" s="11">
        <v>5</v>
      </c>
      <c r="I30" s="11">
        <v>5</v>
      </c>
      <c r="J30" s="11">
        <v>5</v>
      </c>
      <c r="K30" s="11">
        <v>4</v>
      </c>
      <c r="L30" s="11">
        <v>5</v>
      </c>
      <c r="M30" s="11">
        <v>5</v>
      </c>
      <c r="N30" s="11">
        <v>5</v>
      </c>
      <c r="O30" s="11">
        <v>5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f t="shared" si="0"/>
        <v>98</v>
      </c>
    </row>
    <row r="31" spans="1:22" ht="15.75" customHeight="1">
      <c r="A31" s="10">
        <v>23</v>
      </c>
      <c r="B31" s="12">
        <v>5</v>
      </c>
      <c r="C31" s="12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1">
        <v>5</v>
      </c>
      <c r="K31" s="11">
        <v>5</v>
      </c>
      <c r="L31" s="11">
        <v>5</v>
      </c>
      <c r="M31" s="11">
        <v>5</v>
      </c>
      <c r="N31" s="11">
        <v>5</v>
      </c>
      <c r="O31" s="11">
        <v>5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f t="shared" si="0"/>
        <v>100</v>
      </c>
    </row>
    <row r="32" spans="1:22" ht="15.75" customHeight="1">
      <c r="A32" s="10">
        <v>24</v>
      </c>
      <c r="B32" s="12">
        <v>5</v>
      </c>
      <c r="C32" s="12">
        <v>5</v>
      </c>
      <c r="D32" s="11">
        <v>4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1">
        <v>5</v>
      </c>
      <c r="K32" s="11">
        <v>5</v>
      </c>
      <c r="L32" s="11">
        <v>5</v>
      </c>
      <c r="M32" s="11">
        <v>5</v>
      </c>
      <c r="N32" s="11">
        <v>5</v>
      </c>
      <c r="O32" s="11">
        <v>5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f t="shared" si="0"/>
        <v>99</v>
      </c>
    </row>
    <row r="33" spans="1:22" ht="15.75" customHeight="1">
      <c r="A33" s="10">
        <v>25</v>
      </c>
      <c r="B33" s="12">
        <v>5</v>
      </c>
      <c r="C33" s="12">
        <v>3</v>
      </c>
      <c r="D33" s="11">
        <v>4</v>
      </c>
      <c r="E33" s="11">
        <v>3</v>
      </c>
      <c r="F33" s="11">
        <v>4</v>
      </c>
      <c r="G33" s="11">
        <v>4</v>
      </c>
      <c r="H33" s="11">
        <v>4</v>
      </c>
      <c r="I33" s="11">
        <v>4</v>
      </c>
      <c r="J33" s="11">
        <v>4</v>
      </c>
      <c r="K33" s="11">
        <v>5</v>
      </c>
      <c r="L33" s="11">
        <v>4</v>
      </c>
      <c r="M33" s="11">
        <v>4</v>
      </c>
      <c r="N33" s="11">
        <v>3</v>
      </c>
      <c r="O33" s="11">
        <v>3</v>
      </c>
      <c r="P33" s="11">
        <v>4</v>
      </c>
      <c r="Q33" s="11">
        <v>4</v>
      </c>
      <c r="R33" s="11">
        <v>2</v>
      </c>
      <c r="S33" s="11">
        <v>5</v>
      </c>
      <c r="T33" s="11">
        <v>5</v>
      </c>
      <c r="U33" s="11">
        <v>5</v>
      </c>
      <c r="V33" s="11">
        <f t="shared" si="0"/>
        <v>79</v>
      </c>
    </row>
    <row r="34" spans="1:22" ht="15.75" customHeight="1">
      <c r="A34" s="10">
        <v>26</v>
      </c>
      <c r="B34" s="12">
        <v>5</v>
      </c>
      <c r="C34" s="12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5</v>
      </c>
      <c r="J34" s="11">
        <v>5</v>
      </c>
      <c r="K34" s="11">
        <v>5</v>
      </c>
      <c r="L34" s="11">
        <v>5</v>
      </c>
      <c r="M34" s="11">
        <v>5</v>
      </c>
      <c r="N34" s="11">
        <v>5</v>
      </c>
      <c r="O34" s="11">
        <v>5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f t="shared" si="0"/>
        <v>99</v>
      </c>
    </row>
    <row r="35" spans="1:22" ht="15.75" customHeight="1">
      <c r="A35" s="10">
        <v>27</v>
      </c>
      <c r="B35" s="12">
        <v>4</v>
      </c>
      <c r="C35" s="12">
        <v>4</v>
      </c>
      <c r="D35" s="11">
        <v>3</v>
      </c>
      <c r="E35" s="11">
        <v>3</v>
      </c>
      <c r="F35" s="11">
        <v>4</v>
      </c>
      <c r="G35" s="11">
        <v>4</v>
      </c>
      <c r="H35" s="11">
        <v>3</v>
      </c>
      <c r="I35" s="11">
        <v>4</v>
      </c>
      <c r="J35" s="11">
        <v>4</v>
      </c>
      <c r="K35" s="11">
        <v>3</v>
      </c>
      <c r="L35" s="11">
        <v>4</v>
      </c>
      <c r="M35" s="11">
        <v>4</v>
      </c>
      <c r="N35" s="11">
        <v>4</v>
      </c>
      <c r="O35" s="11">
        <v>4</v>
      </c>
      <c r="P35" s="11">
        <v>4</v>
      </c>
      <c r="Q35" s="11">
        <v>3</v>
      </c>
      <c r="R35" s="11">
        <v>4</v>
      </c>
      <c r="S35" s="11">
        <v>3</v>
      </c>
      <c r="T35" s="11">
        <v>5</v>
      </c>
      <c r="U35" s="11">
        <v>4</v>
      </c>
      <c r="V35" s="11">
        <f t="shared" si="0"/>
        <v>75</v>
      </c>
    </row>
    <row r="36" spans="1:22" ht="15.75" customHeight="1">
      <c r="A36" s="10">
        <v>28</v>
      </c>
      <c r="B36" s="12">
        <v>5</v>
      </c>
      <c r="C36" s="12">
        <v>4</v>
      </c>
      <c r="D36" s="11">
        <v>5</v>
      </c>
      <c r="E36" s="11">
        <v>5</v>
      </c>
      <c r="F36" s="11">
        <v>4</v>
      </c>
      <c r="G36" s="11">
        <v>5</v>
      </c>
      <c r="H36" s="11">
        <v>5</v>
      </c>
      <c r="I36" s="11">
        <v>5</v>
      </c>
      <c r="J36" s="11">
        <v>4</v>
      </c>
      <c r="K36" s="11">
        <v>5</v>
      </c>
      <c r="L36" s="11">
        <v>5</v>
      </c>
      <c r="M36" s="11">
        <v>5</v>
      </c>
      <c r="N36" s="11">
        <v>5</v>
      </c>
      <c r="O36" s="11">
        <v>5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f t="shared" si="0"/>
        <v>97</v>
      </c>
    </row>
    <row r="37" spans="1:22" ht="15.75" customHeight="1">
      <c r="A37" s="10">
        <v>29</v>
      </c>
      <c r="B37" s="12">
        <v>5</v>
      </c>
      <c r="C37" s="12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1">
        <v>5</v>
      </c>
      <c r="K37" s="11">
        <v>5</v>
      </c>
      <c r="L37" s="11">
        <v>5</v>
      </c>
      <c r="M37" s="11">
        <v>5</v>
      </c>
      <c r="N37" s="11">
        <v>5</v>
      </c>
      <c r="O37" s="11">
        <v>5</v>
      </c>
      <c r="P37" s="11">
        <v>5</v>
      </c>
      <c r="Q37" s="11">
        <v>5</v>
      </c>
      <c r="R37" s="11">
        <v>5</v>
      </c>
      <c r="S37" s="11">
        <v>5</v>
      </c>
      <c r="T37" s="11">
        <v>4</v>
      </c>
      <c r="U37" s="11">
        <v>5</v>
      </c>
      <c r="V37" s="11">
        <f t="shared" si="0"/>
        <v>99</v>
      </c>
    </row>
    <row r="38" spans="1:22" ht="15.75" customHeight="1">
      <c r="A38" s="10">
        <v>30</v>
      </c>
      <c r="B38" s="12">
        <v>5</v>
      </c>
      <c r="C38" s="12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5</v>
      </c>
      <c r="K38" s="11">
        <v>5</v>
      </c>
      <c r="L38" s="11">
        <v>5</v>
      </c>
      <c r="M38" s="11">
        <v>5</v>
      </c>
      <c r="N38" s="11">
        <v>5</v>
      </c>
      <c r="O38" s="11">
        <v>5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f t="shared" si="0"/>
        <v>100</v>
      </c>
    </row>
    <row r="39" spans="1:22" ht="15.75" customHeight="1">
      <c r="A39" s="10">
        <v>31</v>
      </c>
      <c r="B39" s="12">
        <v>5</v>
      </c>
      <c r="C39" s="12">
        <v>5</v>
      </c>
      <c r="D39" s="11">
        <v>5</v>
      </c>
      <c r="E39" s="11">
        <v>4</v>
      </c>
      <c r="F39" s="11">
        <v>5</v>
      </c>
      <c r="G39" s="11">
        <v>5</v>
      </c>
      <c r="H39" s="11">
        <v>4</v>
      </c>
      <c r="I39" s="11">
        <v>4</v>
      </c>
      <c r="J39" s="11">
        <v>4</v>
      </c>
      <c r="K39" s="11">
        <v>3</v>
      </c>
      <c r="L39" s="11">
        <v>4</v>
      </c>
      <c r="M39" s="11">
        <v>4</v>
      </c>
      <c r="N39" s="11">
        <v>5</v>
      </c>
      <c r="O39" s="11">
        <v>5</v>
      </c>
      <c r="P39" s="11">
        <v>5</v>
      </c>
      <c r="Q39" s="11">
        <v>5</v>
      </c>
      <c r="R39" s="11">
        <v>5</v>
      </c>
      <c r="S39" s="11">
        <v>4</v>
      </c>
      <c r="T39" s="11">
        <v>3</v>
      </c>
      <c r="U39" s="11">
        <v>4</v>
      </c>
      <c r="V39" s="11">
        <f t="shared" si="0"/>
        <v>88</v>
      </c>
    </row>
    <row r="40" spans="1:22" ht="15.75" customHeight="1">
      <c r="A40" s="10">
        <v>32</v>
      </c>
      <c r="B40" s="12">
        <v>5</v>
      </c>
      <c r="C40" s="12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1">
        <v>5</v>
      </c>
      <c r="K40" s="11">
        <v>5</v>
      </c>
      <c r="L40" s="11">
        <v>5</v>
      </c>
      <c r="M40" s="11">
        <v>5</v>
      </c>
      <c r="N40" s="11">
        <v>5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f t="shared" si="0"/>
        <v>100</v>
      </c>
    </row>
    <row r="41" spans="1:22" ht="15.75" customHeight="1">
      <c r="A41" s="10">
        <v>33</v>
      </c>
      <c r="B41" s="12">
        <v>5</v>
      </c>
      <c r="C41" s="12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1">
        <v>5</v>
      </c>
      <c r="K41" s="11">
        <v>5</v>
      </c>
      <c r="L41" s="11">
        <v>5</v>
      </c>
      <c r="M41" s="11">
        <v>5</v>
      </c>
      <c r="N41" s="11">
        <v>5</v>
      </c>
      <c r="O41" s="11">
        <v>5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f t="shared" si="0"/>
        <v>100</v>
      </c>
    </row>
    <row r="42" spans="1:22" ht="15.75" customHeight="1">
      <c r="A42" s="10">
        <v>34</v>
      </c>
      <c r="B42" s="12">
        <v>5</v>
      </c>
      <c r="C42" s="12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1">
        <v>5</v>
      </c>
      <c r="K42" s="11">
        <v>5</v>
      </c>
      <c r="L42" s="11">
        <v>5</v>
      </c>
      <c r="M42" s="11">
        <v>5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f t="shared" si="0"/>
        <v>100</v>
      </c>
    </row>
    <row r="43" spans="1:22" ht="15.75" customHeight="1">
      <c r="A43" s="10">
        <v>35</v>
      </c>
      <c r="B43" s="12">
        <v>4</v>
      </c>
      <c r="C43" s="12">
        <v>5</v>
      </c>
      <c r="D43" s="11">
        <v>5</v>
      </c>
      <c r="E43" s="11">
        <v>4</v>
      </c>
      <c r="F43" s="11">
        <v>5</v>
      </c>
      <c r="G43" s="11">
        <v>5</v>
      </c>
      <c r="H43" s="11">
        <v>4</v>
      </c>
      <c r="I43" s="11">
        <v>4</v>
      </c>
      <c r="J43" s="11">
        <v>5</v>
      </c>
      <c r="K43" s="11">
        <v>4</v>
      </c>
      <c r="L43" s="11">
        <v>5</v>
      </c>
      <c r="M43" s="11">
        <v>5</v>
      </c>
      <c r="N43" s="11">
        <v>4</v>
      </c>
      <c r="O43" s="11">
        <v>4</v>
      </c>
      <c r="P43" s="11">
        <v>4</v>
      </c>
      <c r="Q43" s="11">
        <v>5</v>
      </c>
      <c r="R43" s="11">
        <v>4</v>
      </c>
      <c r="S43" s="11">
        <v>4</v>
      </c>
      <c r="T43" s="11">
        <v>4</v>
      </c>
      <c r="U43" s="11">
        <v>5</v>
      </c>
      <c r="V43" s="11">
        <f t="shared" si="0"/>
        <v>89</v>
      </c>
    </row>
    <row r="44" spans="1:22" ht="15.75" customHeight="1">
      <c r="A44" s="10">
        <v>36</v>
      </c>
      <c r="B44" s="12">
        <v>5</v>
      </c>
      <c r="C44" s="12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1">
        <v>5</v>
      </c>
      <c r="K44" s="11">
        <v>5</v>
      </c>
      <c r="L44" s="11">
        <v>5</v>
      </c>
      <c r="M44" s="11">
        <v>5</v>
      </c>
      <c r="N44" s="11">
        <v>5</v>
      </c>
      <c r="O44" s="11">
        <v>5</v>
      </c>
      <c r="P44" s="11">
        <v>5</v>
      </c>
      <c r="Q44" s="11">
        <v>4</v>
      </c>
      <c r="R44" s="11">
        <v>5</v>
      </c>
      <c r="S44" s="11">
        <v>5</v>
      </c>
      <c r="T44" s="11">
        <v>5</v>
      </c>
      <c r="U44" s="11">
        <v>5</v>
      </c>
      <c r="V44" s="11">
        <f t="shared" si="0"/>
        <v>99</v>
      </c>
    </row>
    <row r="45" spans="1:22" ht="15.75" customHeight="1">
      <c r="A45" s="10">
        <v>37</v>
      </c>
      <c r="B45" s="12">
        <v>5</v>
      </c>
      <c r="C45" s="12">
        <v>5</v>
      </c>
      <c r="D45" s="11">
        <v>5</v>
      </c>
      <c r="E45" s="11">
        <v>5</v>
      </c>
      <c r="F45" s="11">
        <v>5</v>
      </c>
      <c r="G45" s="11">
        <v>4</v>
      </c>
      <c r="H45" s="11">
        <v>4</v>
      </c>
      <c r="I45" s="11">
        <v>4</v>
      </c>
      <c r="J45" s="11">
        <v>4</v>
      </c>
      <c r="K45" s="11">
        <v>4</v>
      </c>
      <c r="L45" s="11">
        <v>4</v>
      </c>
      <c r="M45" s="11">
        <v>4</v>
      </c>
      <c r="N45" s="11">
        <v>4</v>
      </c>
      <c r="O45" s="11">
        <v>3</v>
      </c>
      <c r="P45" s="11">
        <v>4</v>
      </c>
      <c r="Q45" s="11">
        <v>4</v>
      </c>
      <c r="R45" s="11">
        <v>4</v>
      </c>
      <c r="S45" s="11">
        <v>4</v>
      </c>
      <c r="T45" s="11">
        <v>4</v>
      </c>
      <c r="U45" s="11">
        <v>4</v>
      </c>
      <c r="V45" s="11">
        <f t="shared" si="0"/>
        <v>84</v>
      </c>
    </row>
    <row r="46" spans="1:22" ht="15.75" customHeight="1">
      <c r="A46" s="10">
        <v>38</v>
      </c>
      <c r="B46" s="12">
        <v>5</v>
      </c>
      <c r="C46" s="12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1">
        <v>5</v>
      </c>
      <c r="K46" s="11">
        <v>5</v>
      </c>
      <c r="L46" s="11">
        <v>4</v>
      </c>
      <c r="M46" s="11">
        <v>5</v>
      </c>
      <c r="N46" s="11">
        <v>5</v>
      </c>
      <c r="O46" s="11">
        <v>5</v>
      </c>
      <c r="P46" s="11">
        <v>5</v>
      </c>
      <c r="Q46" s="11">
        <v>5</v>
      </c>
      <c r="R46" s="11">
        <v>5</v>
      </c>
      <c r="S46" s="11">
        <v>5</v>
      </c>
      <c r="T46" s="11">
        <v>4</v>
      </c>
      <c r="U46" s="11">
        <v>5</v>
      </c>
      <c r="V46" s="11">
        <f t="shared" si="0"/>
        <v>98</v>
      </c>
    </row>
    <row r="47" spans="1:22" ht="15.75" customHeight="1">
      <c r="A47" s="10">
        <v>39</v>
      </c>
      <c r="B47" s="12">
        <v>5</v>
      </c>
      <c r="C47" s="12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1">
        <v>5</v>
      </c>
      <c r="K47" s="11">
        <v>5</v>
      </c>
      <c r="L47" s="11">
        <v>5</v>
      </c>
      <c r="M47" s="11">
        <v>5</v>
      </c>
      <c r="N47" s="11">
        <v>5</v>
      </c>
      <c r="O47" s="11">
        <v>5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f t="shared" si="0"/>
        <v>100</v>
      </c>
    </row>
    <row r="48" spans="1:22" ht="15.75" customHeight="1">
      <c r="A48" s="10">
        <v>40</v>
      </c>
      <c r="B48" s="12">
        <v>5</v>
      </c>
      <c r="C48" s="12">
        <v>4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1">
        <v>5</v>
      </c>
      <c r="K48" s="11">
        <v>5</v>
      </c>
      <c r="L48" s="11">
        <v>5</v>
      </c>
      <c r="M48" s="11">
        <v>5</v>
      </c>
      <c r="N48" s="11">
        <v>5</v>
      </c>
      <c r="O48" s="11">
        <v>5</v>
      </c>
      <c r="P48" s="11">
        <v>5</v>
      </c>
      <c r="Q48" s="11">
        <v>4</v>
      </c>
      <c r="R48" s="11">
        <v>4</v>
      </c>
      <c r="S48" s="11">
        <v>5</v>
      </c>
      <c r="T48" s="11">
        <v>5</v>
      </c>
      <c r="U48" s="11">
        <v>5</v>
      </c>
      <c r="V48" s="11">
        <f t="shared" si="0"/>
        <v>97</v>
      </c>
    </row>
    <row r="49" spans="1:22" ht="15.75" customHeight="1">
      <c r="A49" s="10">
        <v>41</v>
      </c>
      <c r="B49" s="12">
        <v>5</v>
      </c>
      <c r="C49" s="12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1">
        <v>5</v>
      </c>
      <c r="K49" s="11">
        <v>5</v>
      </c>
      <c r="L49" s="11">
        <v>5</v>
      </c>
      <c r="M49" s="11">
        <v>5</v>
      </c>
      <c r="N49" s="11">
        <v>5</v>
      </c>
      <c r="O49" s="11">
        <v>5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f t="shared" si="0"/>
        <v>100</v>
      </c>
    </row>
    <row r="50" spans="1:22" ht="15.75" customHeight="1">
      <c r="A50" s="10">
        <v>42</v>
      </c>
      <c r="B50" s="12">
        <v>5</v>
      </c>
      <c r="C50" s="12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1">
        <v>5</v>
      </c>
      <c r="K50" s="11">
        <v>5</v>
      </c>
      <c r="L50" s="11">
        <v>5</v>
      </c>
      <c r="M50" s="11">
        <v>5</v>
      </c>
      <c r="N50" s="11">
        <v>5</v>
      </c>
      <c r="O50" s="11">
        <v>5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f t="shared" si="0"/>
        <v>100</v>
      </c>
    </row>
    <row r="51" spans="1:22" ht="15.75" customHeight="1">
      <c r="A51" s="10">
        <v>43</v>
      </c>
      <c r="B51" s="12">
        <v>5</v>
      </c>
      <c r="C51" s="12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1">
        <v>5</v>
      </c>
      <c r="K51" s="11">
        <v>5</v>
      </c>
      <c r="L51" s="11">
        <v>5</v>
      </c>
      <c r="M51" s="11">
        <v>5</v>
      </c>
      <c r="N51" s="11">
        <v>5</v>
      </c>
      <c r="O51" s="11">
        <v>5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f t="shared" si="0"/>
        <v>100</v>
      </c>
    </row>
    <row r="52" spans="1:22" ht="15.75" customHeight="1">
      <c r="A52" s="10">
        <v>44</v>
      </c>
      <c r="B52" s="12">
        <v>5</v>
      </c>
      <c r="C52" s="12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1">
        <v>5</v>
      </c>
      <c r="K52" s="11">
        <v>5</v>
      </c>
      <c r="L52" s="11">
        <v>4</v>
      </c>
      <c r="M52" s="11">
        <v>5</v>
      </c>
      <c r="N52" s="11">
        <v>5</v>
      </c>
      <c r="O52" s="11">
        <v>5</v>
      </c>
      <c r="P52" s="11">
        <v>5</v>
      </c>
      <c r="Q52" s="11">
        <v>4</v>
      </c>
      <c r="R52" s="11">
        <v>5</v>
      </c>
      <c r="S52" s="11">
        <v>5</v>
      </c>
      <c r="T52" s="11">
        <v>5</v>
      </c>
      <c r="U52" s="11">
        <v>4</v>
      </c>
      <c r="V52" s="11">
        <f t="shared" si="0"/>
        <v>97</v>
      </c>
    </row>
    <row r="53" spans="1:22" ht="15.75" customHeight="1">
      <c r="A53" s="10">
        <v>45</v>
      </c>
      <c r="B53" s="12">
        <v>5</v>
      </c>
      <c r="C53" s="12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1">
        <v>5</v>
      </c>
      <c r="K53" s="11">
        <v>5</v>
      </c>
      <c r="L53" s="11">
        <v>5</v>
      </c>
      <c r="M53" s="11">
        <v>5</v>
      </c>
      <c r="N53" s="11">
        <v>5</v>
      </c>
      <c r="O53" s="11">
        <v>5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f t="shared" si="0"/>
        <v>100</v>
      </c>
    </row>
    <row r="54" spans="1:22" ht="15.75" customHeight="1">
      <c r="A54" s="10">
        <v>46</v>
      </c>
      <c r="B54" s="12">
        <v>5</v>
      </c>
      <c r="C54" s="12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1">
        <v>5</v>
      </c>
      <c r="K54" s="11">
        <v>5</v>
      </c>
      <c r="L54" s="11">
        <v>5</v>
      </c>
      <c r="M54" s="11">
        <v>5</v>
      </c>
      <c r="N54" s="11">
        <v>5</v>
      </c>
      <c r="O54" s="11">
        <v>5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f t="shared" si="0"/>
        <v>100</v>
      </c>
    </row>
    <row r="55" spans="1:22" ht="15.75" customHeight="1">
      <c r="A55" s="10">
        <v>47</v>
      </c>
      <c r="B55" s="12">
        <v>4</v>
      </c>
      <c r="C55" s="12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1">
        <v>5</v>
      </c>
      <c r="K55" s="11">
        <v>5</v>
      </c>
      <c r="L55" s="11">
        <v>5</v>
      </c>
      <c r="M55" s="11">
        <v>5</v>
      </c>
      <c r="N55" s="11">
        <v>5</v>
      </c>
      <c r="O55" s="11">
        <v>5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f t="shared" si="0"/>
        <v>99</v>
      </c>
    </row>
    <row r="56" spans="1:22" ht="15.75" customHeight="1">
      <c r="A56" s="10">
        <v>48</v>
      </c>
      <c r="B56" s="12">
        <v>4</v>
      </c>
      <c r="C56" s="12">
        <v>4</v>
      </c>
      <c r="D56" s="11">
        <v>4</v>
      </c>
      <c r="E56" s="11">
        <v>4</v>
      </c>
      <c r="F56" s="11">
        <v>4</v>
      </c>
      <c r="G56" s="11">
        <v>4</v>
      </c>
      <c r="H56" s="11">
        <v>4</v>
      </c>
      <c r="I56" s="11">
        <v>4</v>
      </c>
      <c r="J56" s="11">
        <v>4</v>
      </c>
      <c r="K56" s="11">
        <v>4</v>
      </c>
      <c r="L56" s="11">
        <v>4</v>
      </c>
      <c r="M56" s="11">
        <v>4</v>
      </c>
      <c r="N56" s="11">
        <v>4</v>
      </c>
      <c r="O56" s="11">
        <v>4</v>
      </c>
      <c r="P56" s="11">
        <v>4</v>
      </c>
      <c r="Q56" s="11">
        <v>4</v>
      </c>
      <c r="R56" s="11">
        <v>4</v>
      </c>
      <c r="S56" s="11">
        <v>4</v>
      </c>
      <c r="T56" s="11">
        <v>4</v>
      </c>
      <c r="U56" s="11">
        <v>4</v>
      </c>
      <c r="V56" s="11">
        <f t="shared" si="0"/>
        <v>80</v>
      </c>
    </row>
    <row r="57" spans="1:22" ht="15.75" customHeight="1">
      <c r="A57" s="10">
        <v>49</v>
      </c>
      <c r="B57" s="12">
        <v>5</v>
      </c>
      <c r="C57" s="12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1">
        <v>5</v>
      </c>
      <c r="K57" s="11">
        <v>5</v>
      </c>
      <c r="L57" s="11">
        <v>5</v>
      </c>
      <c r="M57" s="11">
        <v>5</v>
      </c>
      <c r="N57" s="11">
        <v>5</v>
      </c>
      <c r="O57" s="11">
        <v>5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f t="shared" si="0"/>
        <v>100</v>
      </c>
    </row>
    <row r="58" spans="1:22" ht="15.75" customHeight="1">
      <c r="A58" s="10">
        <v>50</v>
      </c>
      <c r="B58" s="12">
        <v>5</v>
      </c>
      <c r="C58" s="12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1">
        <v>5</v>
      </c>
      <c r="K58" s="11">
        <v>5</v>
      </c>
      <c r="L58" s="11">
        <v>5</v>
      </c>
      <c r="M58" s="11">
        <v>5</v>
      </c>
      <c r="N58" s="11">
        <v>5</v>
      </c>
      <c r="O58" s="11">
        <v>5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f t="shared" si="0"/>
        <v>100</v>
      </c>
    </row>
    <row r="59" spans="1:22" ht="15.75" customHeight="1">
      <c r="A59" s="10">
        <v>51</v>
      </c>
      <c r="B59" s="12">
        <v>5</v>
      </c>
      <c r="C59" s="12">
        <v>5</v>
      </c>
      <c r="D59" s="11">
        <v>5</v>
      </c>
      <c r="E59" s="11">
        <v>4</v>
      </c>
      <c r="F59" s="11">
        <v>5</v>
      </c>
      <c r="G59" s="11">
        <v>5</v>
      </c>
      <c r="H59" s="11">
        <v>5</v>
      </c>
      <c r="I59" s="11">
        <v>5</v>
      </c>
      <c r="J59" s="11">
        <v>4</v>
      </c>
      <c r="K59" s="11">
        <v>5</v>
      </c>
      <c r="L59" s="11">
        <v>4</v>
      </c>
      <c r="M59" s="11">
        <v>4</v>
      </c>
      <c r="N59" s="11">
        <v>4</v>
      </c>
      <c r="O59" s="11">
        <v>4</v>
      </c>
      <c r="P59" s="11">
        <v>5</v>
      </c>
      <c r="Q59" s="11">
        <v>4</v>
      </c>
      <c r="R59" s="11">
        <v>5</v>
      </c>
      <c r="S59" s="11">
        <v>4</v>
      </c>
      <c r="T59" s="11">
        <v>4</v>
      </c>
      <c r="U59" s="11">
        <v>4</v>
      </c>
      <c r="V59" s="11">
        <f t="shared" si="0"/>
        <v>90</v>
      </c>
    </row>
    <row r="60" spans="1:22" ht="15.75" customHeight="1">
      <c r="A60" s="10">
        <v>52</v>
      </c>
      <c r="B60" s="12">
        <v>5</v>
      </c>
      <c r="C60" s="12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1">
        <v>5</v>
      </c>
      <c r="K60" s="11">
        <v>5</v>
      </c>
      <c r="L60" s="11">
        <v>5</v>
      </c>
      <c r="M60" s="11">
        <v>5</v>
      </c>
      <c r="N60" s="11">
        <v>5</v>
      </c>
      <c r="O60" s="11">
        <v>5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f t="shared" si="0"/>
        <v>100</v>
      </c>
    </row>
    <row r="61" spans="1:22" ht="15.75" customHeight="1">
      <c r="A61" s="10">
        <v>53</v>
      </c>
      <c r="B61" s="12">
        <v>5</v>
      </c>
      <c r="C61" s="12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1">
        <v>5</v>
      </c>
      <c r="K61" s="11">
        <v>5</v>
      </c>
      <c r="L61" s="11">
        <v>5</v>
      </c>
      <c r="M61" s="11">
        <v>5</v>
      </c>
      <c r="N61" s="11">
        <v>5</v>
      </c>
      <c r="O61" s="11">
        <v>5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f t="shared" si="0"/>
        <v>100</v>
      </c>
    </row>
    <row r="62" spans="1:22" ht="15.75" customHeight="1">
      <c r="A62" s="10">
        <v>54</v>
      </c>
      <c r="B62" s="12">
        <v>5</v>
      </c>
      <c r="C62" s="12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1">
        <v>5</v>
      </c>
      <c r="K62" s="11">
        <v>5</v>
      </c>
      <c r="L62" s="11">
        <v>5</v>
      </c>
      <c r="M62" s="11">
        <v>5</v>
      </c>
      <c r="N62" s="11">
        <v>5</v>
      </c>
      <c r="O62" s="11">
        <v>5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f t="shared" si="0"/>
        <v>100</v>
      </c>
    </row>
    <row r="63" spans="1:22" ht="15.75" customHeight="1">
      <c r="A63" s="12">
        <v>55</v>
      </c>
      <c r="B63" s="12">
        <v>5</v>
      </c>
      <c r="C63" s="12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1">
        <v>5</v>
      </c>
      <c r="K63" s="11">
        <v>5</v>
      </c>
      <c r="L63" s="11">
        <v>5</v>
      </c>
      <c r="M63" s="11">
        <v>5</v>
      </c>
      <c r="N63" s="11">
        <v>5</v>
      </c>
      <c r="O63" s="11">
        <v>5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f t="shared" si="0"/>
        <v>100</v>
      </c>
    </row>
    <row r="64" spans="1:22" ht="15.75" customHeight="1">
      <c r="A64" s="10">
        <v>56</v>
      </c>
      <c r="B64" s="12">
        <v>5</v>
      </c>
      <c r="C64" s="12">
        <v>5</v>
      </c>
      <c r="D64" s="40">
        <v>5</v>
      </c>
      <c r="E64" s="40">
        <v>5</v>
      </c>
      <c r="F64" s="40">
        <v>5</v>
      </c>
      <c r="G64" s="40">
        <v>5</v>
      </c>
      <c r="H64" s="40">
        <v>5</v>
      </c>
      <c r="I64" s="40">
        <v>5</v>
      </c>
      <c r="J64" s="40">
        <v>5</v>
      </c>
      <c r="K64" s="40">
        <v>5</v>
      </c>
      <c r="L64" s="40">
        <v>5</v>
      </c>
      <c r="M64" s="40">
        <v>5</v>
      </c>
      <c r="N64" s="40">
        <v>5</v>
      </c>
      <c r="O64" s="40">
        <v>5</v>
      </c>
      <c r="P64" s="40">
        <v>5</v>
      </c>
      <c r="Q64" s="40">
        <v>5</v>
      </c>
      <c r="R64" s="40">
        <v>5</v>
      </c>
      <c r="S64" s="40">
        <v>5</v>
      </c>
      <c r="T64" s="40">
        <v>5</v>
      </c>
      <c r="U64" s="40">
        <v>5</v>
      </c>
      <c r="V64" s="11">
        <v>100</v>
      </c>
    </row>
    <row r="65" spans="1:22" ht="15.75">
      <c r="A65" s="10">
        <v>57</v>
      </c>
      <c r="B65" s="12">
        <v>4</v>
      </c>
      <c r="C65" s="12">
        <v>5</v>
      </c>
      <c r="D65" s="40">
        <v>4</v>
      </c>
      <c r="E65" s="40">
        <v>4</v>
      </c>
      <c r="F65" s="40">
        <v>5</v>
      </c>
      <c r="G65" s="40">
        <v>5</v>
      </c>
      <c r="H65" s="40">
        <v>4</v>
      </c>
      <c r="I65" s="40">
        <v>4</v>
      </c>
      <c r="J65" s="40">
        <v>4</v>
      </c>
      <c r="K65" s="40">
        <v>4</v>
      </c>
      <c r="L65" s="40">
        <v>4</v>
      </c>
      <c r="M65" s="40">
        <v>4</v>
      </c>
      <c r="N65" s="40">
        <v>4</v>
      </c>
      <c r="O65" s="40">
        <v>4</v>
      </c>
      <c r="P65" s="40">
        <v>4</v>
      </c>
      <c r="Q65" s="40">
        <v>4</v>
      </c>
      <c r="R65" s="40">
        <v>5</v>
      </c>
      <c r="S65" s="40">
        <v>5</v>
      </c>
      <c r="T65" s="40">
        <v>5</v>
      </c>
      <c r="U65" s="40">
        <v>5</v>
      </c>
      <c r="V65" s="11">
        <f>SUM(B65:U65)</f>
        <v>87</v>
      </c>
    </row>
    <row r="66" spans="1:22" ht="15.75">
      <c r="A66" s="10">
        <v>58</v>
      </c>
      <c r="B66" s="12">
        <v>5</v>
      </c>
      <c r="C66" s="12">
        <v>5</v>
      </c>
      <c r="D66" s="40">
        <v>5</v>
      </c>
      <c r="E66" s="40">
        <v>5</v>
      </c>
      <c r="F66" s="40">
        <v>5</v>
      </c>
      <c r="G66" s="40">
        <v>5</v>
      </c>
      <c r="H66" s="40">
        <v>5</v>
      </c>
      <c r="I66" s="40">
        <v>5</v>
      </c>
      <c r="J66" s="40">
        <v>5</v>
      </c>
      <c r="K66" s="40">
        <v>4</v>
      </c>
      <c r="L66" s="40">
        <v>4</v>
      </c>
      <c r="M66" s="40">
        <v>5</v>
      </c>
      <c r="N66" s="40">
        <v>5</v>
      </c>
      <c r="O66" s="40">
        <v>5</v>
      </c>
      <c r="P66" s="40">
        <v>5</v>
      </c>
      <c r="Q66" s="40">
        <v>5</v>
      </c>
      <c r="R66" s="40">
        <v>5</v>
      </c>
      <c r="S66" s="40">
        <v>5</v>
      </c>
      <c r="T66" s="40">
        <v>5</v>
      </c>
      <c r="U66" s="40">
        <v>5</v>
      </c>
      <c r="V66" s="11">
        <f>SUM(B66:U66)</f>
        <v>98</v>
      </c>
    </row>
    <row r="67" spans="1:22" ht="15.75">
      <c r="A67" s="10">
        <v>59</v>
      </c>
      <c r="B67" s="12">
        <v>4</v>
      </c>
      <c r="C67" s="12">
        <v>5</v>
      </c>
      <c r="D67" s="40">
        <v>5</v>
      </c>
      <c r="E67" s="40">
        <v>4</v>
      </c>
      <c r="F67" s="40">
        <v>4</v>
      </c>
      <c r="G67" s="40">
        <v>4</v>
      </c>
      <c r="H67" s="40">
        <v>4</v>
      </c>
      <c r="I67" s="40">
        <v>5</v>
      </c>
      <c r="J67" s="40">
        <v>5</v>
      </c>
      <c r="K67" s="40">
        <v>5</v>
      </c>
      <c r="L67" s="40">
        <v>5</v>
      </c>
      <c r="M67" s="40">
        <v>5</v>
      </c>
      <c r="N67" s="40">
        <v>4</v>
      </c>
      <c r="O67" s="40">
        <v>4</v>
      </c>
      <c r="P67" s="40">
        <v>4</v>
      </c>
      <c r="Q67" s="40">
        <v>5</v>
      </c>
      <c r="R67" s="40">
        <v>5</v>
      </c>
      <c r="S67" s="40">
        <v>5</v>
      </c>
      <c r="T67" s="40">
        <v>4</v>
      </c>
      <c r="U67" s="40">
        <v>5</v>
      </c>
      <c r="V67" s="11">
        <f>SUM(B67:U67)</f>
        <v>91</v>
      </c>
    </row>
    <row r="68" spans="1:22" ht="15.75">
      <c r="A68" s="10"/>
      <c r="B68" s="12">
        <f>SUM(B9:B67)</f>
        <v>281</v>
      </c>
      <c r="C68" s="12">
        <f>SUM(C9:C67)</f>
        <v>281</v>
      </c>
      <c r="D68" s="41">
        <f t="shared" ref="D68:N68" si="1">SUM(D9:D60)</f>
        <v>249</v>
      </c>
      <c r="E68" s="41">
        <f t="shared" si="1"/>
        <v>244</v>
      </c>
      <c r="F68" s="41">
        <f t="shared" si="1"/>
        <v>249</v>
      </c>
      <c r="G68" s="41">
        <f t="shared" si="1"/>
        <v>247</v>
      </c>
      <c r="H68" s="41">
        <f t="shared" si="1"/>
        <v>248</v>
      </c>
      <c r="I68" s="41">
        <f t="shared" si="1"/>
        <v>246</v>
      </c>
      <c r="J68" s="41">
        <f t="shared" si="1"/>
        <v>246</v>
      </c>
      <c r="K68" s="41">
        <f t="shared" si="1"/>
        <v>245</v>
      </c>
      <c r="L68" s="41">
        <f t="shared" si="1"/>
        <v>247</v>
      </c>
      <c r="M68" s="41">
        <f t="shared" si="1"/>
        <v>246</v>
      </c>
      <c r="N68" s="41">
        <f t="shared" si="1"/>
        <v>244</v>
      </c>
      <c r="O68" s="41">
        <f t="shared" ref="O68:U68" si="2">SUM(O9:O67)</f>
        <v>278</v>
      </c>
      <c r="P68" s="41">
        <f t="shared" si="2"/>
        <v>281</v>
      </c>
      <c r="Q68" s="41">
        <f t="shared" si="2"/>
        <v>281</v>
      </c>
      <c r="R68" s="41">
        <f t="shared" si="2"/>
        <v>279</v>
      </c>
      <c r="S68" s="41">
        <f t="shared" si="2"/>
        <v>280</v>
      </c>
      <c r="T68" s="41">
        <f t="shared" si="2"/>
        <v>276</v>
      </c>
      <c r="U68" s="41">
        <f t="shared" si="2"/>
        <v>283</v>
      </c>
      <c r="V68" s="12">
        <f>SUM(B68:U68)</f>
        <v>5231</v>
      </c>
    </row>
    <row r="69" spans="1:22" s="39" customFormat="1" ht="15.75">
      <c r="A69" s="42"/>
      <c r="B69" s="43">
        <f t="shared" ref="B69:U69" si="3">B68/59</f>
        <v>4.7627118644067803</v>
      </c>
      <c r="C69" s="43">
        <f t="shared" si="3"/>
        <v>4.7627118644067803</v>
      </c>
      <c r="D69" s="43">
        <f t="shared" si="3"/>
        <v>4.2203389830508504</v>
      </c>
      <c r="E69" s="43">
        <f t="shared" si="3"/>
        <v>4.13559322033898</v>
      </c>
      <c r="F69" s="43">
        <f t="shared" si="3"/>
        <v>4.2203389830508504</v>
      </c>
      <c r="G69" s="43">
        <f t="shared" si="3"/>
        <v>4.1864406779661003</v>
      </c>
      <c r="H69" s="43">
        <f t="shared" si="3"/>
        <v>4.2033898305084696</v>
      </c>
      <c r="I69" s="43">
        <f t="shared" si="3"/>
        <v>4.1694915254237301</v>
      </c>
      <c r="J69" s="43">
        <f t="shared" si="3"/>
        <v>4.1694915254237301</v>
      </c>
      <c r="K69" s="43">
        <f t="shared" si="3"/>
        <v>4.15254237288136</v>
      </c>
      <c r="L69" s="43">
        <f t="shared" si="3"/>
        <v>4.1864406779661003</v>
      </c>
      <c r="M69" s="43">
        <f t="shared" si="3"/>
        <v>4.1694915254237301</v>
      </c>
      <c r="N69" s="43">
        <f t="shared" si="3"/>
        <v>4.13559322033898</v>
      </c>
      <c r="O69" s="43">
        <f t="shared" si="3"/>
        <v>4.71186440677966</v>
      </c>
      <c r="P69" s="43">
        <f t="shared" si="3"/>
        <v>4.7627118644067803</v>
      </c>
      <c r="Q69" s="43">
        <f t="shared" si="3"/>
        <v>4.7627118644067803</v>
      </c>
      <c r="R69" s="43">
        <f t="shared" si="3"/>
        <v>4.7288135593220302</v>
      </c>
      <c r="S69" s="43">
        <f t="shared" si="3"/>
        <v>4.7457627118644101</v>
      </c>
      <c r="T69" s="43">
        <f t="shared" si="3"/>
        <v>4.6779661016949197</v>
      </c>
      <c r="U69" s="43">
        <f t="shared" si="3"/>
        <v>4.7966101694915304</v>
      </c>
      <c r="V69" s="16">
        <v>4.58</v>
      </c>
    </row>
    <row r="70" spans="1:22" ht="27.75" customHeight="1">
      <c r="A70" s="99" t="s">
        <v>8</v>
      </c>
      <c r="B70" s="20">
        <v>1.1000000000000001</v>
      </c>
      <c r="C70" s="20">
        <v>1.2</v>
      </c>
      <c r="D70" s="20">
        <v>1.3</v>
      </c>
      <c r="E70" s="20">
        <v>1.4</v>
      </c>
      <c r="F70" s="20">
        <v>1.5</v>
      </c>
      <c r="G70" s="20">
        <v>2.1</v>
      </c>
      <c r="H70" s="20">
        <v>2.2000000000000002</v>
      </c>
      <c r="I70" s="20">
        <v>2.2999999999999998</v>
      </c>
      <c r="J70" s="20">
        <v>2.4</v>
      </c>
      <c r="K70" s="20">
        <v>2.5</v>
      </c>
      <c r="L70" s="20">
        <v>3.1</v>
      </c>
      <c r="M70" s="20">
        <v>3.2</v>
      </c>
      <c r="N70" s="20">
        <v>3.3</v>
      </c>
      <c r="O70" s="20">
        <v>3.4</v>
      </c>
      <c r="P70" s="20">
        <v>3.5</v>
      </c>
      <c r="Q70" s="20">
        <v>4.0999999999999996</v>
      </c>
      <c r="R70" s="20">
        <v>4.2</v>
      </c>
      <c r="S70" s="20">
        <v>4.3</v>
      </c>
      <c r="T70" s="20">
        <v>4.4000000000000004</v>
      </c>
      <c r="U70" s="20">
        <v>4.5</v>
      </c>
      <c r="V70" s="102" t="s">
        <v>7</v>
      </c>
    </row>
    <row r="71" spans="1:22" ht="17.25" customHeight="1">
      <c r="A71" s="100"/>
      <c r="B71" s="89" t="s">
        <v>9</v>
      </c>
      <c r="C71" s="89"/>
      <c r="D71" s="89"/>
      <c r="E71" s="89"/>
      <c r="F71" s="89"/>
      <c r="G71" s="90" t="s">
        <v>10</v>
      </c>
      <c r="H71" s="90"/>
      <c r="I71" s="90"/>
      <c r="J71" s="90"/>
      <c r="K71" s="90"/>
      <c r="L71" s="90" t="s">
        <v>11</v>
      </c>
      <c r="M71" s="90"/>
      <c r="N71" s="90"/>
      <c r="O71" s="90"/>
      <c r="P71" s="90"/>
      <c r="Q71" s="90" t="s">
        <v>12</v>
      </c>
      <c r="R71" s="90"/>
      <c r="S71" s="90"/>
      <c r="T71" s="90"/>
      <c r="U71" s="90"/>
      <c r="V71" s="103"/>
    </row>
    <row r="72" spans="1:22" ht="17.25" customHeight="1">
      <c r="A72" s="101"/>
      <c r="B72" s="21">
        <v>4.7627118644067803</v>
      </c>
      <c r="C72" s="21">
        <v>4.7627118644067803</v>
      </c>
      <c r="D72" s="21">
        <v>4.2203389830508504</v>
      </c>
      <c r="E72" s="21">
        <v>4.13559322033898</v>
      </c>
      <c r="F72" s="21">
        <v>4.2203389830508504</v>
      </c>
      <c r="G72" s="21">
        <v>4.1864406779661003</v>
      </c>
      <c r="H72" s="21">
        <v>4.2033898305084696</v>
      </c>
      <c r="I72" s="21">
        <v>4.1694915254237301</v>
      </c>
      <c r="J72" s="21">
        <v>4.1694915254237301</v>
      </c>
      <c r="K72" s="21">
        <v>4.15254237288136</v>
      </c>
      <c r="L72" s="21">
        <v>4.1864406779661003</v>
      </c>
      <c r="M72" s="21">
        <v>4.1694915254237301</v>
      </c>
      <c r="N72" s="21">
        <v>4.13559322033898</v>
      </c>
      <c r="O72" s="21">
        <v>4.71186440677966</v>
      </c>
      <c r="P72" s="21">
        <v>4.7627118644067803</v>
      </c>
      <c r="Q72" s="21">
        <v>4.7627118644067803</v>
      </c>
      <c r="R72" s="21">
        <v>4.7288135593220302</v>
      </c>
      <c r="S72" s="21">
        <v>4.7457627118644101</v>
      </c>
      <c r="T72" s="21">
        <v>4.6779661016949197</v>
      </c>
      <c r="U72" s="21">
        <v>4.7966101694915304</v>
      </c>
      <c r="V72" s="22">
        <v>4.58</v>
      </c>
    </row>
    <row r="73" spans="1:22" ht="17.25" customHeight="1">
      <c r="A73" s="92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2"/>
    </row>
    <row r="74" spans="1:22" ht="17.25" customHeight="1">
      <c r="A74" s="23" t="s">
        <v>13</v>
      </c>
      <c r="B74" s="24">
        <v>1.1000000000000001</v>
      </c>
      <c r="C74" s="24">
        <v>1.2</v>
      </c>
      <c r="D74" s="24">
        <v>1.3</v>
      </c>
      <c r="E74" s="24">
        <v>1.4</v>
      </c>
      <c r="F74" s="24">
        <v>1.5</v>
      </c>
      <c r="G74" s="24">
        <v>2.1</v>
      </c>
      <c r="H74" s="24">
        <v>2.2000000000000002</v>
      </c>
      <c r="I74" s="24">
        <v>2.2999999999999998</v>
      </c>
      <c r="J74" s="24">
        <v>2.4</v>
      </c>
      <c r="K74" s="24">
        <v>2.5</v>
      </c>
      <c r="L74" s="24">
        <v>3.1</v>
      </c>
      <c r="M74" s="24">
        <v>3.2</v>
      </c>
      <c r="N74" s="24">
        <v>3.3</v>
      </c>
      <c r="O74" s="24">
        <v>3.4</v>
      </c>
      <c r="P74" s="24">
        <v>3.5</v>
      </c>
      <c r="Q74" s="24">
        <v>4.0999999999999996</v>
      </c>
      <c r="R74" s="24">
        <v>4.2</v>
      </c>
      <c r="S74" s="24">
        <v>4.3</v>
      </c>
      <c r="T74" s="24">
        <v>4.4000000000000004</v>
      </c>
      <c r="U74" s="24">
        <v>4.5</v>
      </c>
      <c r="V74" s="24" t="s">
        <v>6</v>
      </c>
    </row>
    <row r="75" spans="1:22" ht="17.25" customHeight="1">
      <c r="A75" s="20">
        <v>5</v>
      </c>
      <c r="B75" s="25">
        <f>COUNTIF(B9:B67,5)</f>
        <v>47</v>
      </c>
      <c r="C75" s="25">
        <f t="shared" ref="C75:U75" si="4">COUNTIF(C9:C67,5)</f>
        <v>46</v>
      </c>
      <c r="D75" s="25">
        <f t="shared" si="4"/>
        <v>49</v>
      </c>
      <c r="E75" s="25">
        <f t="shared" si="4"/>
        <v>45</v>
      </c>
      <c r="F75" s="25">
        <f t="shared" si="4"/>
        <v>48</v>
      </c>
      <c r="G75" s="25">
        <f t="shared" si="4"/>
        <v>47</v>
      </c>
      <c r="H75" s="25">
        <f t="shared" si="4"/>
        <v>47</v>
      </c>
      <c r="I75" s="25">
        <f t="shared" si="4"/>
        <v>44</v>
      </c>
      <c r="J75" s="25">
        <f t="shared" si="4"/>
        <v>46</v>
      </c>
      <c r="K75" s="25">
        <f t="shared" si="4"/>
        <v>45</v>
      </c>
      <c r="L75" s="25">
        <f t="shared" si="4"/>
        <v>44</v>
      </c>
      <c r="M75" s="25">
        <f t="shared" si="4"/>
        <v>46</v>
      </c>
      <c r="N75" s="25">
        <f t="shared" si="4"/>
        <v>43</v>
      </c>
      <c r="O75" s="25">
        <f t="shared" si="4"/>
        <v>45</v>
      </c>
      <c r="P75" s="25">
        <f t="shared" si="4"/>
        <v>47</v>
      </c>
      <c r="Q75" s="25">
        <f t="shared" si="4"/>
        <v>46</v>
      </c>
      <c r="R75" s="25">
        <f t="shared" si="4"/>
        <v>46</v>
      </c>
      <c r="S75" s="25">
        <f t="shared" si="4"/>
        <v>46</v>
      </c>
      <c r="T75" s="25">
        <f t="shared" si="4"/>
        <v>43</v>
      </c>
      <c r="U75" s="25">
        <f t="shared" si="4"/>
        <v>48</v>
      </c>
      <c r="V75" s="25">
        <f>SUM(B75:U75)</f>
        <v>918</v>
      </c>
    </row>
    <row r="76" spans="1:22">
      <c r="A76" s="20">
        <v>4</v>
      </c>
      <c r="B76" s="25">
        <f>COUNTIF(B9:B67,4)</f>
        <v>10</v>
      </c>
      <c r="C76" s="25">
        <f t="shared" ref="C76:U76" si="5">COUNTIF(C9:C67,4)</f>
        <v>12</v>
      </c>
      <c r="D76" s="25">
        <f t="shared" si="5"/>
        <v>8</v>
      </c>
      <c r="E76" s="25">
        <f t="shared" si="5"/>
        <v>11</v>
      </c>
      <c r="F76" s="25">
        <f t="shared" si="5"/>
        <v>10</v>
      </c>
      <c r="G76" s="25">
        <f t="shared" si="5"/>
        <v>10</v>
      </c>
      <c r="H76" s="25">
        <f t="shared" si="5"/>
        <v>10</v>
      </c>
      <c r="I76" s="25">
        <f t="shared" si="5"/>
        <v>15</v>
      </c>
      <c r="J76" s="25">
        <f t="shared" si="5"/>
        <v>11</v>
      </c>
      <c r="K76" s="25">
        <f t="shared" si="5"/>
        <v>11</v>
      </c>
      <c r="L76" s="25">
        <f t="shared" si="5"/>
        <v>15</v>
      </c>
      <c r="M76" s="25">
        <f t="shared" si="5"/>
        <v>12</v>
      </c>
      <c r="N76" s="25">
        <f t="shared" si="5"/>
        <v>14</v>
      </c>
      <c r="O76" s="25">
        <f t="shared" si="5"/>
        <v>11</v>
      </c>
      <c r="P76" s="25">
        <f t="shared" si="5"/>
        <v>10</v>
      </c>
      <c r="Q76" s="25">
        <f t="shared" si="5"/>
        <v>12</v>
      </c>
      <c r="R76" s="25">
        <f t="shared" si="5"/>
        <v>11</v>
      </c>
      <c r="S76" s="25">
        <f t="shared" si="5"/>
        <v>11</v>
      </c>
      <c r="T76" s="25">
        <f t="shared" si="5"/>
        <v>13</v>
      </c>
      <c r="U76" s="25">
        <f t="shared" si="5"/>
        <v>10</v>
      </c>
      <c r="V76" s="25">
        <f>SUM(B76:U76)</f>
        <v>227</v>
      </c>
    </row>
    <row r="77" spans="1:22">
      <c r="A77" s="20">
        <v>3</v>
      </c>
      <c r="B77" s="25">
        <f>COUNTIF(B9:B67,3)</f>
        <v>2</v>
      </c>
      <c r="C77" s="25">
        <f t="shared" ref="C77:U77" si="6">COUNTIF(C9:C67,3)</f>
        <v>1</v>
      </c>
      <c r="D77" s="25">
        <f t="shared" si="6"/>
        <v>2</v>
      </c>
      <c r="E77" s="25">
        <f t="shared" si="6"/>
        <v>2</v>
      </c>
      <c r="F77" s="25">
        <f t="shared" si="6"/>
        <v>1</v>
      </c>
      <c r="G77" s="25">
        <f t="shared" si="6"/>
        <v>2</v>
      </c>
      <c r="H77" s="25">
        <f t="shared" si="6"/>
        <v>2</v>
      </c>
      <c r="I77" s="25">
        <f t="shared" si="6"/>
        <v>0</v>
      </c>
      <c r="J77" s="25">
        <f t="shared" si="6"/>
        <v>2</v>
      </c>
      <c r="K77" s="25">
        <f t="shared" si="6"/>
        <v>3</v>
      </c>
      <c r="L77" s="25">
        <f t="shared" si="6"/>
        <v>0</v>
      </c>
      <c r="M77" s="25">
        <f t="shared" si="6"/>
        <v>0</v>
      </c>
      <c r="N77" s="25">
        <f t="shared" si="6"/>
        <v>2</v>
      </c>
      <c r="O77" s="25">
        <f t="shared" si="6"/>
        <v>3</v>
      </c>
      <c r="P77" s="25">
        <f t="shared" si="6"/>
        <v>2</v>
      </c>
      <c r="Q77" s="25">
        <f t="shared" si="6"/>
        <v>1</v>
      </c>
      <c r="R77" s="25">
        <f t="shared" si="6"/>
        <v>1</v>
      </c>
      <c r="S77" s="25">
        <f t="shared" si="6"/>
        <v>2</v>
      </c>
      <c r="T77" s="25">
        <f t="shared" si="6"/>
        <v>3</v>
      </c>
      <c r="U77" s="25">
        <f t="shared" si="6"/>
        <v>1</v>
      </c>
      <c r="V77" s="25">
        <f>SUM(B77:U77)</f>
        <v>32</v>
      </c>
    </row>
    <row r="78" spans="1:22" ht="27" customHeight="1">
      <c r="A78" s="20">
        <v>2</v>
      </c>
      <c r="B78" s="25">
        <f>COUNTIF(B9:B67,2)</f>
        <v>0</v>
      </c>
      <c r="C78" s="25">
        <f t="shared" ref="C78:U78" si="7">COUNTIF(C9:C67,2)</f>
        <v>0</v>
      </c>
      <c r="D78" s="25">
        <f t="shared" si="7"/>
        <v>0</v>
      </c>
      <c r="E78" s="25">
        <f t="shared" si="7"/>
        <v>1</v>
      </c>
      <c r="F78" s="25">
        <f t="shared" si="7"/>
        <v>0</v>
      </c>
      <c r="G78" s="25">
        <f t="shared" si="7"/>
        <v>0</v>
      </c>
      <c r="H78" s="25">
        <f t="shared" si="7"/>
        <v>0</v>
      </c>
      <c r="I78" s="25">
        <f t="shared" si="7"/>
        <v>0</v>
      </c>
      <c r="J78" s="25">
        <f t="shared" si="7"/>
        <v>0</v>
      </c>
      <c r="K78" s="25">
        <f t="shared" si="7"/>
        <v>0</v>
      </c>
      <c r="L78" s="25">
        <f t="shared" si="7"/>
        <v>0</v>
      </c>
      <c r="M78" s="25">
        <f t="shared" si="7"/>
        <v>1</v>
      </c>
      <c r="N78" s="25">
        <f t="shared" si="7"/>
        <v>0</v>
      </c>
      <c r="O78" s="25">
        <f t="shared" si="7"/>
        <v>0</v>
      </c>
      <c r="P78" s="25">
        <f t="shared" si="7"/>
        <v>0</v>
      </c>
      <c r="Q78" s="25">
        <f t="shared" si="7"/>
        <v>0</v>
      </c>
      <c r="R78" s="25">
        <f t="shared" si="7"/>
        <v>1</v>
      </c>
      <c r="S78" s="25">
        <f t="shared" si="7"/>
        <v>0</v>
      </c>
      <c r="T78" s="25">
        <f t="shared" si="7"/>
        <v>0</v>
      </c>
      <c r="U78" s="25">
        <f t="shared" si="7"/>
        <v>0</v>
      </c>
      <c r="V78" s="25">
        <f>SUM(B78:U78)</f>
        <v>3</v>
      </c>
    </row>
    <row r="79" spans="1:22" ht="28.5" customHeight="1">
      <c r="A79" s="20">
        <v>1</v>
      </c>
      <c r="B79" s="25">
        <f>COUNTIF(B9:B67,1)</f>
        <v>0</v>
      </c>
      <c r="C79" s="25">
        <f t="shared" ref="C79:U79" si="8">COUNTIF(C9:C67,1)</f>
        <v>0</v>
      </c>
      <c r="D79" s="25">
        <f t="shared" si="8"/>
        <v>0</v>
      </c>
      <c r="E79" s="25">
        <f t="shared" si="8"/>
        <v>0</v>
      </c>
      <c r="F79" s="25">
        <f t="shared" si="8"/>
        <v>0</v>
      </c>
      <c r="G79" s="25">
        <f t="shared" si="8"/>
        <v>0</v>
      </c>
      <c r="H79" s="25">
        <f t="shared" si="8"/>
        <v>0</v>
      </c>
      <c r="I79" s="25">
        <f t="shared" si="8"/>
        <v>0</v>
      </c>
      <c r="J79" s="25">
        <f t="shared" si="8"/>
        <v>0</v>
      </c>
      <c r="K79" s="25">
        <f t="shared" si="8"/>
        <v>0</v>
      </c>
      <c r="L79" s="25">
        <f t="shared" si="8"/>
        <v>0</v>
      </c>
      <c r="M79" s="25">
        <f t="shared" si="8"/>
        <v>0</v>
      </c>
      <c r="N79" s="25">
        <f t="shared" si="8"/>
        <v>0</v>
      </c>
      <c r="O79" s="25">
        <f t="shared" si="8"/>
        <v>0</v>
      </c>
      <c r="P79" s="25">
        <f t="shared" si="8"/>
        <v>0</v>
      </c>
      <c r="Q79" s="25">
        <f t="shared" si="8"/>
        <v>0</v>
      </c>
      <c r="R79" s="25">
        <f t="shared" si="8"/>
        <v>0</v>
      </c>
      <c r="S79" s="25">
        <f t="shared" si="8"/>
        <v>0</v>
      </c>
      <c r="T79" s="25">
        <f t="shared" si="8"/>
        <v>0</v>
      </c>
      <c r="U79" s="25">
        <f t="shared" si="8"/>
        <v>0</v>
      </c>
      <c r="V79" s="25">
        <f>SUM(B79:U79)</f>
        <v>0</v>
      </c>
    </row>
    <row r="80" spans="1:22" ht="30.75" customHeight="1">
      <c r="A80" s="26"/>
      <c r="B80" s="26"/>
      <c r="C80" s="26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27"/>
    </row>
    <row r="81" spans="1:22" ht="30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A82" s="96" t="s">
        <v>9</v>
      </c>
      <c r="B82" s="97"/>
      <c r="C82" s="98"/>
      <c r="D82" s="29">
        <v>4.7627118644067803</v>
      </c>
      <c r="E82" s="29">
        <v>4.7627118644067803</v>
      </c>
      <c r="F82" s="29">
        <v>4.2203389830508504</v>
      </c>
      <c r="G82" s="29">
        <v>4.13559322033898</v>
      </c>
      <c r="H82" s="29">
        <v>4.2203389830508504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>
      <c r="A83" s="96" t="s">
        <v>10</v>
      </c>
      <c r="B83" s="97"/>
      <c r="C83" s="98"/>
      <c r="D83" s="29">
        <v>4.1864406779661003</v>
      </c>
      <c r="E83" s="29">
        <v>4.2033898305084696</v>
      </c>
      <c r="F83" s="29">
        <v>4.1694915254237301</v>
      </c>
      <c r="G83" s="29">
        <v>4.1694915254237301</v>
      </c>
      <c r="H83" s="29">
        <v>4.15254237288136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s="96" t="s">
        <v>14</v>
      </c>
      <c r="B84" s="97"/>
      <c r="C84" s="98"/>
      <c r="D84" s="29">
        <v>4.1864406779661003</v>
      </c>
      <c r="E84" s="29">
        <v>4.1694915254237301</v>
      </c>
      <c r="F84" s="29">
        <v>4.13559322033898</v>
      </c>
      <c r="G84" s="29">
        <v>4.71186440677966</v>
      </c>
      <c r="H84" s="29">
        <v>4.7627118644067803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s="96" t="s">
        <v>12</v>
      </c>
      <c r="B85" s="97"/>
      <c r="C85" s="98"/>
      <c r="D85" s="29">
        <v>4.7627118644067803</v>
      </c>
      <c r="E85" s="29">
        <v>4.7288135593220302</v>
      </c>
      <c r="F85" s="29">
        <v>4.7457627118644101</v>
      </c>
      <c r="G85" s="29">
        <v>4.6779661016949197</v>
      </c>
      <c r="H85" s="29">
        <v>4.7966101694915304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s="30" customFormat="1" ht="15.75">
      <c r="A90" s="30" t="s">
        <v>15</v>
      </c>
      <c r="J90" s="30" t="s">
        <v>16</v>
      </c>
      <c r="T90" s="30" t="s">
        <v>17</v>
      </c>
      <c r="U90"/>
      <c r="V90"/>
    </row>
    <row r="91" spans="1:2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ht="15.75">
      <c r="U94" s="30"/>
      <c r="V94" s="30"/>
    </row>
    <row r="95" spans="1:2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</sheetData>
  <mergeCells count="14">
    <mergeCell ref="A73:V73"/>
    <mergeCell ref="A82:C82"/>
    <mergeCell ref="A83:C83"/>
    <mergeCell ref="A84:C84"/>
    <mergeCell ref="A85:C85"/>
    <mergeCell ref="A4:V4"/>
    <mergeCell ref="A5:V5"/>
    <mergeCell ref="F6:P6"/>
    <mergeCell ref="B71:F71"/>
    <mergeCell ref="G71:K71"/>
    <mergeCell ref="L71:P71"/>
    <mergeCell ref="Q71:U71"/>
    <mergeCell ref="A70:A72"/>
    <mergeCell ref="V70:V71"/>
  </mergeCells>
  <pageMargins left="0.43263888888888902" right="7.8472222222222193E-2" top="0.26" bottom="0.196850393700787" header="0.23" footer="0.2"/>
  <pageSetup paperSize="9" scale="7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4:W101"/>
  <sheetViews>
    <sheetView topLeftCell="A63" zoomScale="85" zoomScaleNormal="85" workbookViewId="0">
      <selection activeCell="M99" sqref="M99"/>
    </sheetView>
  </sheetViews>
  <sheetFormatPr defaultColWidth="9" defaultRowHeight="15"/>
  <cols>
    <col min="1" max="1" width="7.5703125" style="1" customWidth="1"/>
    <col min="2" max="2" width="7.7109375" style="1" customWidth="1"/>
    <col min="3" max="3" width="10.7109375" style="1" customWidth="1"/>
    <col min="4" max="4" width="9.85546875" style="1" customWidth="1"/>
    <col min="5" max="16384" width="9" style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35</v>
      </c>
      <c r="R7" s="5" t="s">
        <v>36</v>
      </c>
      <c r="S7" s="5"/>
      <c r="T7" s="5"/>
      <c r="U7" s="6"/>
      <c r="V7" s="3"/>
    </row>
    <row r="8" spans="1:22">
      <c r="A8" s="7" t="s">
        <v>5</v>
      </c>
      <c r="B8" s="8">
        <v>1.1000000000000001</v>
      </c>
      <c r="C8" s="8">
        <v>1.2</v>
      </c>
      <c r="D8" s="8">
        <v>1.3</v>
      </c>
      <c r="E8" s="8">
        <v>1.4</v>
      </c>
      <c r="F8" s="8">
        <v>1.5</v>
      </c>
      <c r="G8" s="8">
        <v>2.1</v>
      </c>
      <c r="H8" s="8">
        <v>2.2000000000000002</v>
      </c>
      <c r="I8" s="8">
        <v>2.2999999999999998</v>
      </c>
      <c r="J8" s="8">
        <v>2.4</v>
      </c>
      <c r="K8" s="8">
        <v>2.5</v>
      </c>
      <c r="L8" s="8">
        <v>3.1</v>
      </c>
      <c r="M8" s="8">
        <v>3.2</v>
      </c>
      <c r="N8" s="8">
        <v>3.3</v>
      </c>
      <c r="O8" s="8">
        <v>3.4</v>
      </c>
      <c r="P8" s="8">
        <v>3.5</v>
      </c>
      <c r="Q8" s="8">
        <v>4.0999999999999996</v>
      </c>
      <c r="R8" s="8">
        <v>4.2</v>
      </c>
      <c r="S8" s="8">
        <v>4.3</v>
      </c>
      <c r="T8" s="8">
        <v>4.4000000000000004</v>
      </c>
      <c r="U8" s="8">
        <v>4.5</v>
      </c>
      <c r="V8" s="9" t="s">
        <v>6</v>
      </c>
    </row>
    <row r="9" spans="1:22" ht="15.75">
      <c r="A9" s="10">
        <v>1</v>
      </c>
      <c r="B9" s="11">
        <v>5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1">
        <v>5</v>
      </c>
      <c r="K9" s="11">
        <v>5</v>
      </c>
      <c r="L9" s="11">
        <v>5</v>
      </c>
      <c r="M9" s="11">
        <v>5</v>
      </c>
      <c r="N9" s="11">
        <v>4</v>
      </c>
      <c r="O9" s="11">
        <v>4</v>
      </c>
      <c r="P9" s="11">
        <v>4</v>
      </c>
      <c r="Q9" s="11">
        <v>4</v>
      </c>
      <c r="R9" s="11">
        <v>4</v>
      </c>
      <c r="S9" s="11">
        <v>4</v>
      </c>
      <c r="T9" s="11">
        <v>4</v>
      </c>
      <c r="U9" s="11">
        <v>4</v>
      </c>
      <c r="V9" s="11">
        <f>SUM(B9:U9)</f>
        <v>92</v>
      </c>
    </row>
    <row r="10" spans="1:22" ht="15.75">
      <c r="A10" s="10">
        <v>2</v>
      </c>
      <c r="B10" s="11">
        <v>5</v>
      </c>
      <c r="C10" s="11">
        <v>2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5</v>
      </c>
      <c r="K10" s="11">
        <v>5</v>
      </c>
      <c r="L10" s="11">
        <v>2</v>
      </c>
      <c r="M10" s="11">
        <v>5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f t="shared" ref="V10:V40" si="0">SUM(B10:U10)</f>
        <v>68</v>
      </c>
    </row>
    <row r="11" spans="1:22" ht="15.75">
      <c r="A11" s="10">
        <v>3</v>
      </c>
      <c r="B11" s="11">
        <v>5</v>
      </c>
      <c r="C11" s="11">
        <v>2</v>
      </c>
      <c r="D11" s="11">
        <v>5</v>
      </c>
      <c r="E11" s="11">
        <v>3</v>
      </c>
      <c r="F11" s="11">
        <v>5</v>
      </c>
      <c r="G11" s="11">
        <v>5</v>
      </c>
      <c r="H11" s="11">
        <v>3</v>
      </c>
      <c r="I11" s="11">
        <v>2</v>
      </c>
      <c r="J11" s="11">
        <v>1</v>
      </c>
      <c r="K11" s="11">
        <v>1</v>
      </c>
      <c r="L11" s="11">
        <v>1</v>
      </c>
      <c r="M11" s="11">
        <v>1</v>
      </c>
      <c r="N11" s="11">
        <v>4</v>
      </c>
      <c r="O11" s="11">
        <v>2</v>
      </c>
      <c r="P11" s="11">
        <v>3</v>
      </c>
      <c r="Q11" s="11">
        <v>4</v>
      </c>
      <c r="R11" s="11">
        <v>4</v>
      </c>
      <c r="S11" s="11">
        <v>4</v>
      </c>
      <c r="T11" s="11">
        <v>4</v>
      </c>
      <c r="U11" s="11">
        <v>4</v>
      </c>
      <c r="V11" s="11">
        <f t="shared" si="0"/>
        <v>63</v>
      </c>
    </row>
    <row r="12" spans="1:22" ht="15.75">
      <c r="A12" s="10">
        <v>4</v>
      </c>
      <c r="B12" s="11">
        <v>5</v>
      </c>
      <c r="C12" s="11">
        <v>4</v>
      </c>
      <c r="D12" s="11">
        <v>4</v>
      </c>
      <c r="E12" s="11">
        <v>4</v>
      </c>
      <c r="F12" s="11">
        <v>4</v>
      </c>
      <c r="G12" s="11">
        <v>4</v>
      </c>
      <c r="H12" s="11">
        <v>5</v>
      </c>
      <c r="I12" s="11">
        <v>4</v>
      </c>
      <c r="J12" s="11">
        <v>1</v>
      </c>
      <c r="K12" s="11">
        <v>1</v>
      </c>
      <c r="L12" s="11">
        <v>1</v>
      </c>
      <c r="M12" s="11">
        <v>1</v>
      </c>
      <c r="N12" s="11">
        <v>2</v>
      </c>
      <c r="O12" s="11">
        <v>2</v>
      </c>
      <c r="P12" s="11">
        <v>2</v>
      </c>
      <c r="Q12" s="11">
        <v>2</v>
      </c>
      <c r="R12" s="11">
        <v>5</v>
      </c>
      <c r="S12" s="11">
        <v>5</v>
      </c>
      <c r="T12" s="11">
        <v>5</v>
      </c>
      <c r="U12" s="11">
        <v>5</v>
      </c>
      <c r="V12" s="11">
        <f t="shared" si="0"/>
        <v>66</v>
      </c>
    </row>
    <row r="13" spans="1:22" ht="15.75">
      <c r="A13" s="10">
        <v>5</v>
      </c>
      <c r="B13" s="12">
        <v>3</v>
      </c>
      <c r="C13" s="12">
        <v>3</v>
      </c>
      <c r="D13" s="12">
        <v>3</v>
      </c>
      <c r="E13" s="12">
        <v>3</v>
      </c>
      <c r="F13" s="12">
        <v>3</v>
      </c>
      <c r="G13" s="12">
        <v>3</v>
      </c>
      <c r="H13" s="12">
        <v>3</v>
      </c>
      <c r="I13" s="12">
        <v>3</v>
      </c>
      <c r="J13" s="12">
        <v>3</v>
      </c>
      <c r="K13" s="12">
        <v>5</v>
      </c>
      <c r="L13" s="12">
        <v>2</v>
      </c>
      <c r="M13" s="12">
        <v>2</v>
      </c>
      <c r="N13" s="12">
        <v>2</v>
      </c>
      <c r="O13" s="12">
        <v>2</v>
      </c>
      <c r="P13" s="12">
        <v>2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1">
        <f t="shared" si="0"/>
        <v>67</v>
      </c>
    </row>
    <row r="14" spans="1:22" ht="15.75">
      <c r="A14" s="10">
        <v>6</v>
      </c>
      <c r="B14" s="11">
        <v>5</v>
      </c>
      <c r="C14" s="11">
        <v>5</v>
      </c>
      <c r="D14" s="11">
        <v>5</v>
      </c>
      <c r="E14" s="11">
        <v>5</v>
      </c>
      <c r="F14" s="11">
        <v>5</v>
      </c>
      <c r="G14" s="11">
        <v>4</v>
      </c>
      <c r="H14" s="11">
        <v>4</v>
      </c>
      <c r="I14" s="11">
        <v>4</v>
      </c>
      <c r="J14" s="11">
        <v>2</v>
      </c>
      <c r="K14" s="11">
        <v>4</v>
      </c>
      <c r="L14" s="11">
        <v>4</v>
      </c>
      <c r="M14" s="11">
        <v>4</v>
      </c>
      <c r="N14" s="11">
        <v>4</v>
      </c>
      <c r="O14" s="11">
        <v>4</v>
      </c>
      <c r="P14" s="11">
        <v>4</v>
      </c>
      <c r="Q14" s="11">
        <v>4</v>
      </c>
      <c r="R14" s="11">
        <v>4</v>
      </c>
      <c r="S14" s="11">
        <v>4</v>
      </c>
      <c r="T14" s="11">
        <v>5</v>
      </c>
      <c r="U14" s="11">
        <v>5</v>
      </c>
      <c r="V14" s="11">
        <f t="shared" si="0"/>
        <v>85</v>
      </c>
    </row>
    <row r="15" spans="1:22" ht="15.75">
      <c r="A15" s="10">
        <v>7</v>
      </c>
      <c r="B15" s="11">
        <v>5</v>
      </c>
      <c r="C15" s="11">
        <v>1</v>
      </c>
      <c r="D15" s="11">
        <v>1</v>
      </c>
      <c r="E15" s="11">
        <v>1</v>
      </c>
      <c r="F15" s="11">
        <v>5</v>
      </c>
      <c r="G15" s="11">
        <v>2</v>
      </c>
      <c r="H15" s="11">
        <v>2</v>
      </c>
      <c r="I15" s="11">
        <v>3</v>
      </c>
      <c r="J15" s="11">
        <v>3</v>
      </c>
      <c r="K15" s="11">
        <v>3</v>
      </c>
      <c r="L15" s="11">
        <v>3</v>
      </c>
      <c r="M15" s="11">
        <v>3</v>
      </c>
      <c r="N15" s="11">
        <v>4</v>
      </c>
      <c r="O15" s="11">
        <v>4</v>
      </c>
      <c r="P15" s="11">
        <v>4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f t="shared" si="0"/>
        <v>68</v>
      </c>
    </row>
    <row r="16" spans="1:22" ht="15.75">
      <c r="A16" s="10">
        <v>8</v>
      </c>
      <c r="B16" s="11">
        <v>4</v>
      </c>
      <c r="C16" s="11">
        <v>4</v>
      </c>
      <c r="D16" s="11">
        <v>4</v>
      </c>
      <c r="E16" s="11">
        <v>3</v>
      </c>
      <c r="F16" s="11">
        <v>3</v>
      </c>
      <c r="G16" s="11">
        <v>3</v>
      </c>
      <c r="H16" s="11">
        <v>2</v>
      </c>
      <c r="I16" s="11">
        <v>2</v>
      </c>
      <c r="J16" s="11">
        <v>2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2</v>
      </c>
      <c r="Q16" s="11">
        <v>2</v>
      </c>
      <c r="R16" s="11">
        <v>2</v>
      </c>
      <c r="S16" s="11">
        <v>5</v>
      </c>
      <c r="T16" s="11">
        <v>5</v>
      </c>
      <c r="U16" s="11">
        <v>5</v>
      </c>
      <c r="V16" s="11">
        <f t="shared" si="0"/>
        <v>53</v>
      </c>
    </row>
    <row r="17" spans="1:22" ht="15.75">
      <c r="A17" s="10">
        <v>9</v>
      </c>
      <c r="B17" s="11">
        <v>5</v>
      </c>
      <c r="C17" s="11">
        <v>5</v>
      </c>
      <c r="D17" s="11">
        <v>5</v>
      </c>
      <c r="E17" s="11">
        <v>5</v>
      </c>
      <c r="F17" s="11">
        <v>1</v>
      </c>
      <c r="G17" s="11">
        <v>1</v>
      </c>
      <c r="H17" s="11">
        <v>2</v>
      </c>
      <c r="I17" s="11">
        <v>2</v>
      </c>
      <c r="J17" s="11">
        <v>2</v>
      </c>
      <c r="K17" s="11">
        <v>2</v>
      </c>
      <c r="L17" s="11">
        <v>3</v>
      </c>
      <c r="M17" s="11">
        <v>3</v>
      </c>
      <c r="N17" s="11">
        <v>3</v>
      </c>
      <c r="O17" s="11">
        <v>3</v>
      </c>
      <c r="P17" s="11">
        <v>4</v>
      </c>
      <c r="Q17" s="11">
        <v>4</v>
      </c>
      <c r="R17" s="11">
        <v>4</v>
      </c>
      <c r="S17" s="11">
        <v>5</v>
      </c>
      <c r="T17" s="11">
        <v>5</v>
      </c>
      <c r="U17" s="11">
        <v>5</v>
      </c>
      <c r="V17" s="11">
        <f t="shared" si="0"/>
        <v>69</v>
      </c>
    </row>
    <row r="18" spans="1:22" ht="15.75">
      <c r="A18" s="10">
        <v>10</v>
      </c>
      <c r="B18" s="11">
        <v>5</v>
      </c>
      <c r="C18" s="11">
        <v>5</v>
      </c>
      <c r="D18" s="11">
        <v>5</v>
      </c>
      <c r="E18" s="11">
        <v>5</v>
      </c>
      <c r="F18" s="11">
        <v>5</v>
      </c>
      <c r="G18" s="11">
        <v>4</v>
      </c>
      <c r="H18" s="11">
        <v>5</v>
      </c>
      <c r="I18" s="11">
        <v>4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5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f t="shared" si="0"/>
        <v>83</v>
      </c>
    </row>
    <row r="19" spans="1:22" ht="15.75">
      <c r="A19" s="10">
        <v>11</v>
      </c>
      <c r="B19" s="11">
        <v>5</v>
      </c>
      <c r="C19" s="11">
        <v>5</v>
      </c>
      <c r="D19" s="11">
        <v>5</v>
      </c>
      <c r="E19" s="11">
        <v>5</v>
      </c>
      <c r="F19" s="11">
        <v>5</v>
      </c>
      <c r="G19" s="11">
        <v>4</v>
      </c>
      <c r="H19" s="11">
        <v>5</v>
      </c>
      <c r="I19" s="11">
        <v>5</v>
      </c>
      <c r="J19" s="11">
        <v>4</v>
      </c>
      <c r="K19" s="11">
        <v>4</v>
      </c>
      <c r="L19" s="11">
        <v>4</v>
      </c>
      <c r="M19" s="11">
        <v>5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f t="shared" si="0"/>
        <v>96</v>
      </c>
    </row>
    <row r="20" spans="1:22" ht="15.75">
      <c r="A20" s="10">
        <v>12</v>
      </c>
      <c r="B20" s="11">
        <v>5</v>
      </c>
      <c r="C20" s="11">
        <v>5</v>
      </c>
      <c r="D20" s="11">
        <v>5</v>
      </c>
      <c r="E20" s="11">
        <v>5</v>
      </c>
      <c r="F20" s="11">
        <v>5</v>
      </c>
      <c r="G20" s="11">
        <v>4</v>
      </c>
      <c r="H20" s="11">
        <v>3</v>
      </c>
      <c r="I20" s="11">
        <v>3</v>
      </c>
      <c r="J20" s="11">
        <v>3</v>
      </c>
      <c r="K20" s="11">
        <v>3</v>
      </c>
      <c r="L20" s="11">
        <v>5</v>
      </c>
      <c r="M20" s="11">
        <v>5</v>
      </c>
      <c r="N20" s="11">
        <v>5</v>
      </c>
      <c r="O20" s="11">
        <v>5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f t="shared" si="0"/>
        <v>91</v>
      </c>
    </row>
    <row r="21" spans="1:22" ht="15.75">
      <c r="A21" s="10">
        <v>13</v>
      </c>
      <c r="B21" s="11">
        <v>5</v>
      </c>
      <c r="C21" s="11">
        <v>5</v>
      </c>
      <c r="D21" s="11">
        <v>5</v>
      </c>
      <c r="E21" s="11">
        <v>5</v>
      </c>
      <c r="F21" s="11">
        <v>5</v>
      </c>
      <c r="G21" s="11">
        <v>4</v>
      </c>
      <c r="H21" s="11">
        <v>5</v>
      </c>
      <c r="I21" s="11">
        <v>5</v>
      </c>
      <c r="J21" s="11">
        <v>5</v>
      </c>
      <c r="K21" s="11">
        <v>5</v>
      </c>
      <c r="L21" s="11">
        <v>5</v>
      </c>
      <c r="M21" s="11">
        <v>5</v>
      </c>
      <c r="N21" s="11">
        <v>5</v>
      </c>
      <c r="O21" s="11">
        <v>5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f t="shared" si="0"/>
        <v>99</v>
      </c>
    </row>
    <row r="22" spans="1:22" ht="15.75">
      <c r="A22" s="10">
        <v>14</v>
      </c>
      <c r="B22" s="11">
        <v>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1">
        <v>3</v>
      </c>
      <c r="K22" s="11">
        <v>3</v>
      </c>
      <c r="L22" s="11">
        <v>3</v>
      </c>
      <c r="M22" s="11">
        <v>3</v>
      </c>
      <c r="N22" s="11">
        <v>3</v>
      </c>
      <c r="O22" s="11">
        <v>5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f t="shared" si="0"/>
        <v>90</v>
      </c>
    </row>
    <row r="23" spans="1:22" ht="15.75">
      <c r="A23" s="10">
        <v>15</v>
      </c>
      <c r="B23" s="11">
        <v>5</v>
      </c>
      <c r="C23" s="11">
        <v>5</v>
      </c>
      <c r="D23" s="11">
        <v>5</v>
      </c>
      <c r="E23" s="11">
        <v>5</v>
      </c>
      <c r="F23" s="11">
        <v>2</v>
      </c>
      <c r="G23" s="11">
        <v>2</v>
      </c>
      <c r="H23" s="11">
        <v>2</v>
      </c>
      <c r="I23" s="11">
        <v>2</v>
      </c>
      <c r="J23" s="11">
        <v>2</v>
      </c>
      <c r="K23" s="11">
        <v>5</v>
      </c>
      <c r="L23" s="11">
        <v>5</v>
      </c>
      <c r="M23" s="11">
        <v>5</v>
      </c>
      <c r="N23" s="11">
        <v>5</v>
      </c>
      <c r="O23" s="11">
        <v>5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f t="shared" si="0"/>
        <v>85</v>
      </c>
    </row>
    <row r="24" spans="1:22" ht="15.75">
      <c r="A24" s="10">
        <v>16</v>
      </c>
      <c r="B24" s="11">
        <v>5</v>
      </c>
      <c r="C24" s="11">
        <v>5</v>
      </c>
      <c r="D24" s="11">
        <v>5</v>
      </c>
      <c r="E24" s="11">
        <v>5</v>
      </c>
      <c r="F24" s="11">
        <v>5</v>
      </c>
      <c r="G24" s="11">
        <v>3</v>
      </c>
      <c r="H24" s="11">
        <v>5</v>
      </c>
      <c r="I24" s="11">
        <v>2</v>
      </c>
      <c r="J24" s="11">
        <v>5</v>
      </c>
      <c r="K24" s="11">
        <v>5</v>
      </c>
      <c r="L24" s="11">
        <v>5</v>
      </c>
      <c r="M24" s="11">
        <v>5</v>
      </c>
      <c r="N24" s="11">
        <v>5</v>
      </c>
      <c r="O24" s="11">
        <v>5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f t="shared" si="0"/>
        <v>95</v>
      </c>
    </row>
    <row r="25" spans="1:22" ht="15.75">
      <c r="A25" s="10">
        <v>17</v>
      </c>
      <c r="B25" s="11">
        <v>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1">
        <v>3</v>
      </c>
      <c r="K25" s="11">
        <v>5</v>
      </c>
      <c r="L25" s="11">
        <v>5</v>
      </c>
      <c r="M25" s="11">
        <v>5</v>
      </c>
      <c r="N25" s="11">
        <v>5</v>
      </c>
      <c r="O25" s="11">
        <v>5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f t="shared" si="0"/>
        <v>98</v>
      </c>
    </row>
    <row r="26" spans="1:22" ht="15.75">
      <c r="A26" s="10">
        <v>18</v>
      </c>
      <c r="B26" s="11">
        <v>5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1">
        <v>3</v>
      </c>
      <c r="K26" s="11">
        <v>5</v>
      </c>
      <c r="L26" s="11">
        <v>3</v>
      </c>
      <c r="M26" s="11">
        <v>5</v>
      </c>
      <c r="N26" s="11">
        <v>3</v>
      </c>
      <c r="O26" s="11">
        <v>5</v>
      </c>
      <c r="P26" s="11">
        <v>3</v>
      </c>
      <c r="Q26" s="11">
        <v>1</v>
      </c>
      <c r="R26" s="11">
        <v>5</v>
      </c>
      <c r="S26" s="11">
        <v>5</v>
      </c>
      <c r="T26" s="11">
        <v>5</v>
      </c>
      <c r="U26" s="11">
        <v>5</v>
      </c>
      <c r="V26" s="11">
        <f t="shared" si="0"/>
        <v>88</v>
      </c>
    </row>
    <row r="27" spans="1:22" ht="15.75">
      <c r="A27" s="10">
        <v>19</v>
      </c>
      <c r="B27" s="11">
        <v>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1">
        <v>4</v>
      </c>
      <c r="K27" s="11">
        <v>5</v>
      </c>
      <c r="L27" s="11">
        <v>4</v>
      </c>
      <c r="M27" s="11">
        <v>2</v>
      </c>
      <c r="N27" s="11">
        <v>5</v>
      </c>
      <c r="O27" s="11">
        <v>2</v>
      </c>
      <c r="P27" s="11">
        <v>2</v>
      </c>
      <c r="Q27" s="11">
        <v>5</v>
      </c>
      <c r="R27" s="11">
        <v>2</v>
      </c>
      <c r="S27" s="11">
        <v>5</v>
      </c>
      <c r="T27" s="11">
        <v>5</v>
      </c>
      <c r="U27" s="11">
        <v>5</v>
      </c>
      <c r="V27" s="11">
        <f t="shared" si="0"/>
        <v>86</v>
      </c>
    </row>
    <row r="28" spans="1:22" ht="15.75">
      <c r="A28" s="10">
        <v>20</v>
      </c>
      <c r="B28" s="11">
        <v>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1">
        <v>5</v>
      </c>
      <c r="K28" s="11">
        <v>5</v>
      </c>
      <c r="L28" s="11">
        <v>5</v>
      </c>
      <c r="M28" s="11">
        <v>5</v>
      </c>
      <c r="N28" s="11">
        <v>5</v>
      </c>
      <c r="O28" s="11">
        <v>5</v>
      </c>
      <c r="P28" s="11">
        <v>5</v>
      </c>
      <c r="Q28" s="11">
        <v>5</v>
      </c>
      <c r="R28" s="11">
        <v>2</v>
      </c>
      <c r="S28" s="11">
        <v>5</v>
      </c>
      <c r="T28" s="11">
        <v>5</v>
      </c>
      <c r="U28" s="11">
        <v>5</v>
      </c>
      <c r="V28" s="11">
        <f t="shared" si="0"/>
        <v>97</v>
      </c>
    </row>
    <row r="29" spans="1:22" ht="15.75">
      <c r="A29" s="10">
        <v>21</v>
      </c>
      <c r="B29" s="11">
        <v>5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1">
        <v>5</v>
      </c>
      <c r="K29" s="11">
        <v>5</v>
      </c>
      <c r="L29" s="11">
        <v>5</v>
      </c>
      <c r="M29" s="11">
        <v>5</v>
      </c>
      <c r="N29" s="11">
        <v>5</v>
      </c>
      <c r="O29" s="11">
        <v>5</v>
      </c>
      <c r="P29" s="11">
        <v>5</v>
      </c>
      <c r="Q29" s="11">
        <v>5</v>
      </c>
      <c r="R29" s="11">
        <v>2</v>
      </c>
      <c r="S29" s="11">
        <v>5</v>
      </c>
      <c r="T29" s="11">
        <v>5</v>
      </c>
      <c r="U29" s="11">
        <v>5</v>
      </c>
      <c r="V29" s="11">
        <f t="shared" si="0"/>
        <v>97</v>
      </c>
    </row>
    <row r="30" spans="1:22" ht="15.75">
      <c r="A30" s="10">
        <v>22</v>
      </c>
      <c r="B30" s="11">
        <v>5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1">
        <v>5</v>
      </c>
      <c r="K30" s="11">
        <v>5</v>
      </c>
      <c r="L30" s="11">
        <v>5</v>
      </c>
      <c r="M30" s="11">
        <v>5</v>
      </c>
      <c r="N30" s="11">
        <v>5</v>
      </c>
      <c r="O30" s="11">
        <v>5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f t="shared" si="0"/>
        <v>100</v>
      </c>
    </row>
    <row r="31" spans="1:22" ht="15.75">
      <c r="A31" s="10">
        <v>23</v>
      </c>
      <c r="B31" s="11">
        <v>5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1">
        <v>5</v>
      </c>
      <c r="K31" s="11">
        <v>5</v>
      </c>
      <c r="L31" s="11">
        <v>5</v>
      </c>
      <c r="M31" s="11">
        <v>5</v>
      </c>
      <c r="N31" s="11">
        <v>5</v>
      </c>
      <c r="O31" s="11">
        <v>5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f t="shared" si="0"/>
        <v>100</v>
      </c>
    </row>
    <row r="32" spans="1:22" ht="15.75">
      <c r="A32" s="10">
        <v>24</v>
      </c>
      <c r="B32" s="11">
        <v>5</v>
      </c>
      <c r="C32" s="11">
        <v>5</v>
      </c>
      <c r="D32" s="11">
        <v>5</v>
      </c>
      <c r="E32" s="11">
        <v>1</v>
      </c>
      <c r="F32" s="11">
        <v>5</v>
      </c>
      <c r="G32" s="11">
        <v>5</v>
      </c>
      <c r="H32" s="11">
        <v>1</v>
      </c>
      <c r="I32" s="11">
        <v>5</v>
      </c>
      <c r="J32" s="11">
        <v>5</v>
      </c>
      <c r="K32" s="11">
        <v>5</v>
      </c>
      <c r="L32" s="11">
        <v>1</v>
      </c>
      <c r="M32" s="11">
        <v>5</v>
      </c>
      <c r="N32" s="11">
        <v>5</v>
      </c>
      <c r="O32" s="11">
        <v>5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f t="shared" si="0"/>
        <v>88</v>
      </c>
    </row>
    <row r="33" spans="1:22" ht="15.75">
      <c r="A33" s="10">
        <v>25</v>
      </c>
      <c r="B33" s="11">
        <v>5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1">
        <v>5</v>
      </c>
      <c r="K33" s="11">
        <v>5</v>
      </c>
      <c r="L33" s="11">
        <v>1</v>
      </c>
      <c r="M33" s="11">
        <v>5</v>
      </c>
      <c r="N33" s="11">
        <v>5</v>
      </c>
      <c r="O33" s="11">
        <v>5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f t="shared" si="0"/>
        <v>96</v>
      </c>
    </row>
    <row r="34" spans="1:22" ht="15.75">
      <c r="A34" s="10">
        <v>26</v>
      </c>
      <c r="B34" s="11">
        <v>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1">
        <v>5</v>
      </c>
      <c r="K34" s="11">
        <v>5</v>
      </c>
      <c r="L34" s="11">
        <v>5</v>
      </c>
      <c r="M34" s="11">
        <v>5</v>
      </c>
      <c r="N34" s="11">
        <v>5</v>
      </c>
      <c r="O34" s="11">
        <v>5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f t="shared" si="0"/>
        <v>100</v>
      </c>
    </row>
    <row r="35" spans="1:22" ht="15.75">
      <c r="A35" s="10">
        <v>27</v>
      </c>
      <c r="B35" s="11">
        <v>5</v>
      </c>
      <c r="C35" s="11">
        <v>1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1">
        <v>5</v>
      </c>
      <c r="K35" s="11">
        <v>5</v>
      </c>
      <c r="L35" s="11">
        <v>5</v>
      </c>
      <c r="M35" s="11">
        <v>5</v>
      </c>
      <c r="N35" s="11">
        <v>5</v>
      </c>
      <c r="O35" s="11">
        <v>5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f t="shared" si="0"/>
        <v>96</v>
      </c>
    </row>
    <row r="36" spans="1:22" ht="15.75">
      <c r="A36" s="10">
        <v>28</v>
      </c>
      <c r="B36" s="11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1">
        <v>5</v>
      </c>
      <c r="K36" s="11">
        <v>5</v>
      </c>
      <c r="L36" s="11">
        <v>5</v>
      </c>
      <c r="M36" s="11">
        <v>5</v>
      </c>
      <c r="N36" s="11">
        <v>5</v>
      </c>
      <c r="O36" s="11">
        <v>5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1</v>
      </c>
      <c r="V36" s="11">
        <f t="shared" si="0"/>
        <v>96</v>
      </c>
    </row>
    <row r="37" spans="1:22" ht="15.75">
      <c r="A37" s="10">
        <v>29</v>
      </c>
      <c r="B37" s="11">
        <v>5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1">
        <v>5</v>
      </c>
      <c r="K37" s="11">
        <v>5</v>
      </c>
      <c r="L37" s="11">
        <v>1</v>
      </c>
      <c r="M37" s="11">
        <v>5</v>
      </c>
      <c r="N37" s="11">
        <v>5</v>
      </c>
      <c r="O37" s="11">
        <v>5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f t="shared" si="0"/>
        <v>96</v>
      </c>
    </row>
    <row r="38" spans="1:22" ht="15.75">
      <c r="A38" s="10">
        <v>30</v>
      </c>
      <c r="B38" s="11">
        <v>5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4</v>
      </c>
      <c r="K38" s="11">
        <v>4</v>
      </c>
      <c r="L38" s="11">
        <v>4</v>
      </c>
      <c r="M38" s="11">
        <v>5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4</v>
      </c>
      <c r="T38" s="11">
        <v>5</v>
      </c>
      <c r="U38" s="11">
        <v>1</v>
      </c>
      <c r="V38" s="11">
        <f t="shared" si="0"/>
        <v>90</v>
      </c>
    </row>
    <row r="39" spans="1:22" ht="15.75">
      <c r="A39" s="10">
        <v>31</v>
      </c>
      <c r="B39" s="11">
        <v>5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1">
        <v>5</v>
      </c>
      <c r="K39" s="11">
        <v>5</v>
      </c>
      <c r="L39" s="11">
        <v>5</v>
      </c>
      <c r="M39" s="11">
        <v>5</v>
      </c>
      <c r="N39" s="11">
        <v>5</v>
      </c>
      <c r="O39" s="11">
        <v>5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f t="shared" si="0"/>
        <v>100</v>
      </c>
    </row>
    <row r="40" spans="1:22" ht="15.75">
      <c r="A40" s="10">
        <v>32</v>
      </c>
      <c r="B40" s="11">
        <v>5</v>
      </c>
      <c r="C40" s="11">
        <v>1</v>
      </c>
      <c r="D40" s="11">
        <v>5</v>
      </c>
      <c r="E40" s="11">
        <v>5</v>
      </c>
      <c r="F40" s="11">
        <v>1</v>
      </c>
      <c r="G40" s="11">
        <v>5</v>
      </c>
      <c r="H40" s="11">
        <v>5</v>
      </c>
      <c r="I40" s="11">
        <v>5</v>
      </c>
      <c r="J40" s="11">
        <v>5</v>
      </c>
      <c r="K40" s="11">
        <v>5</v>
      </c>
      <c r="L40" s="11">
        <v>1</v>
      </c>
      <c r="M40" s="11">
        <v>5</v>
      </c>
      <c r="N40" s="11">
        <v>5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1</v>
      </c>
      <c r="V40" s="11">
        <f t="shared" si="0"/>
        <v>84</v>
      </c>
    </row>
    <row r="41" spans="1:22" ht="15.75">
      <c r="A41" s="10">
        <v>33</v>
      </c>
      <c r="B41" s="11">
        <v>5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1">
        <v>5</v>
      </c>
      <c r="K41" s="11">
        <v>5</v>
      </c>
      <c r="L41" s="11">
        <v>5</v>
      </c>
      <c r="M41" s="11">
        <v>5</v>
      </c>
      <c r="N41" s="11">
        <v>5</v>
      </c>
      <c r="O41" s="11">
        <v>5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1</v>
      </c>
      <c r="V41" s="11">
        <f t="shared" ref="V41:V65" si="1">SUM(B41:U41)</f>
        <v>96</v>
      </c>
    </row>
    <row r="42" spans="1:22" ht="15.75">
      <c r="A42" s="10">
        <v>34</v>
      </c>
      <c r="B42" s="11">
        <v>5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1">
        <v>5</v>
      </c>
      <c r="K42" s="11">
        <v>5</v>
      </c>
      <c r="L42" s="11">
        <v>5</v>
      </c>
      <c r="M42" s="11">
        <v>5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1</v>
      </c>
      <c r="V42" s="11">
        <f t="shared" si="1"/>
        <v>96</v>
      </c>
    </row>
    <row r="43" spans="1:22" ht="15.75">
      <c r="A43" s="10">
        <v>35</v>
      </c>
      <c r="B43" s="11">
        <v>5</v>
      </c>
      <c r="C43" s="11">
        <v>5</v>
      </c>
      <c r="D43" s="11">
        <v>1</v>
      </c>
      <c r="E43" s="11">
        <v>5</v>
      </c>
      <c r="F43" s="11">
        <v>5</v>
      </c>
      <c r="G43" s="11">
        <v>5</v>
      </c>
      <c r="H43" s="11">
        <v>1</v>
      </c>
      <c r="I43" s="11">
        <v>5</v>
      </c>
      <c r="J43" s="11">
        <v>5</v>
      </c>
      <c r="K43" s="11">
        <v>1</v>
      </c>
      <c r="L43" s="11">
        <v>5</v>
      </c>
      <c r="M43" s="11">
        <v>5</v>
      </c>
      <c r="N43" s="11">
        <v>5</v>
      </c>
      <c r="O43" s="11">
        <v>1</v>
      </c>
      <c r="P43" s="11">
        <v>5</v>
      </c>
      <c r="Q43" s="11">
        <v>5</v>
      </c>
      <c r="R43" s="11">
        <v>1</v>
      </c>
      <c r="S43" s="11">
        <v>5</v>
      </c>
      <c r="T43" s="11">
        <v>5</v>
      </c>
      <c r="U43" s="11">
        <v>2</v>
      </c>
      <c r="V43" s="11">
        <f t="shared" si="1"/>
        <v>77</v>
      </c>
    </row>
    <row r="44" spans="1:22" ht="15.75">
      <c r="A44" s="10">
        <v>36</v>
      </c>
      <c r="B44" s="11">
        <v>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1">
        <v>5</v>
      </c>
      <c r="K44" s="11">
        <v>5</v>
      </c>
      <c r="L44" s="11">
        <v>5</v>
      </c>
      <c r="M44" s="11">
        <v>5</v>
      </c>
      <c r="N44" s="11">
        <v>5</v>
      </c>
      <c r="O44" s="11">
        <v>5</v>
      </c>
      <c r="P44" s="11">
        <v>5</v>
      </c>
      <c r="Q44" s="11">
        <v>5</v>
      </c>
      <c r="R44" s="11">
        <v>5</v>
      </c>
      <c r="S44" s="11">
        <v>4</v>
      </c>
      <c r="T44" s="11">
        <v>5</v>
      </c>
      <c r="U44" s="11">
        <v>2</v>
      </c>
      <c r="V44" s="11">
        <f t="shared" si="1"/>
        <v>96</v>
      </c>
    </row>
    <row r="45" spans="1:22" ht="15.75">
      <c r="A45" s="10">
        <v>37</v>
      </c>
      <c r="B45" s="11">
        <v>5</v>
      </c>
      <c r="C45" s="11">
        <v>1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1">
        <v>5</v>
      </c>
      <c r="K45" s="11">
        <v>5</v>
      </c>
      <c r="L45" s="11">
        <v>5</v>
      </c>
      <c r="M45" s="11">
        <v>5</v>
      </c>
      <c r="N45" s="11">
        <v>5</v>
      </c>
      <c r="O45" s="11">
        <v>5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2</v>
      </c>
      <c r="V45" s="11">
        <f t="shared" si="1"/>
        <v>93</v>
      </c>
    </row>
    <row r="46" spans="1:22" ht="15.75">
      <c r="A46" s="10">
        <v>38</v>
      </c>
      <c r="B46" s="11">
        <v>5</v>
      </c>
      <c r="C46" s="11">
        <v>5</v>
      </c>
      <c r="D46" s="11">
        <v>1</v>
      </c>
      <c r="E46" s="11">
        <v>5</v>
      </c>
      <c r="F46" s="11">
        <v>5</v>
      </c>
      <c r="G46" s="11">
        <v>4</v>
      </c>
      <c r="H46" s="11">
        <v>5</v>
      </c>
      <c r="I46" s="11">
        <v>5</v>
      </c>
      <c r="J46" s="11">
        <v>5</v>
      </c>
      <c r="K46" s="11">
        <v>5</v>
      </c>
      <c r="L46" s="11">
        <v>4</v>
      </c>
      <c r="M46" s="11">
        <v>5</v>
      </c>
      <c r="N46" s="11">
        <v>5</v>
      </c>
      <c r="O46" s="11">
        <v>5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f t="shared" si="1"/>
        <v>94</v>
      </c>
    </row>
    <row r="47" spans="1:22" ht="15.75">
      <c r="A47" s="10">
        <v>39</v>
      </c>
      <c r="B47" s="11">
        <v>5</v>
      </c>
      <c r="C47" s="11">
        <v>5</v>
      </c>
      <c r="D47" s="11">
        <v>5</v>
      </c>
      <c r="E47" s="11">
        <v>3</v>
      </c>
      <c r="F47" s="11">
        <v>5</v>
      </c>
      <c r="G47" s="11">
        <v>4</v>
      </c>
      <c r="H47" s="11">
        <v>5</v>
      </c>
      <c r="I47" s="11">
        <v>5</v>
      </c>
      <c r="J47" s="11">
        <v>5</v>
      </c>
      <c r="K47" s="11">
        <v>5</v>
      </c>
      <c r="L47" s="11">
        <v>5</v>
      </c>
      <c r="M47" s="11">
        <v>5</v>
      </c>
      <c r="N47" s="11">
        <v>5</v>
      </c>
      <c r="O47" s="11">
        <v>5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f t="shared" si="1"/>
        <v>97</v>
      </c>
    </row>
    <row r="48" spans="1:22" ht="15.75">
      <c r="A48" s="10">
        <v>40</v>
      </c>
      <c r="B48" s="11">
        <v>5</v>
      </c>
      <c r="C48" s="11">
        <v>5</v>
      </c>
      <c r="D48" s="11">
        <v>1</v>
      </c>
      <c r="E48" s="11">
        <v>3</v>
      </c>
      <c r="F48" s="11">
        <v>5</v>
      </c>
      <c r="G48" s="11">
        <v>4</v>
      </c>
      <c r="H48" s="11">
        <v>5</v>
      </c>
      <c r="I48" s="11">
        <v>5</v>
      </c>
      <c r="J48" s="11">
        <v>5</v>
      </c>
      <c r="K48" s="11">
        <v>5</v>
      </c>
      <c r="L48" s="11">
        <v>5</v>
      </c>
      <c r="M48" s="11">
        <v>5</v>
      </c>
      <c r="N48" s="11">
        <v>5</v>
      </c>
      <c r="O48" s="11">
        <v>5</v>
      </c>
      <c r="P48" s="11">
        <v>5</v>
      </c>
      <c r="Q48" s="11">
        <v>5</v>
      </c>
      <c r="R48" s="11">
        <v>5</v>
      </c>
      <c r="S48" s="11">
        <v>4</v>
      </c>
      <c r="T48" s="11">
        <v>5</v>
      </c>
      <c r="U48" s="11">
        <v>5</v>
      </c>
      <c r="V48" s="11">
        <f t="shared" si="1"/>
        <v>92</v>
      </c>
    </row>
    <row r="49" spans="1:22" ht="15.75">
      <c r="A49" s="10">
        <v>41</v>
      </c>
      <c r="B49" s="11">
        <v>5</v>
      </c>
      <c r="C49" s="11">
        <v>1</v>
      </c>
      <c r="D49" s="11">
        <v>1</v>
      </c>
      <c r="E49" s="11">
        <v>3</v>
      </c>
      <c r="F49" s="11">
        <v>2</v>
      </c>
      <c r="G49" s="11">
        <v>3</v>
      </c>
      <c r="H49" s="11">
        <v>5</v>
      </c>
      <c r="I49" s="11">
        <v>5</v>
      </c>
      <c r="J49" s="11">
        <v>3</v>
      </c>
      <c r="K49" s="11">
        <v>5</v>
      </c>
      <c r="L49" s="11">
        <v>5</v>
      </c>
      <c r="M49" s="11">
        <v>4</v>
      </c>
      <c r="N49" s="11">
        <v>5</v>
      </c>
      <c r="O49" s="11">
        <v>5</v>
      </c>
      <c r="P49" s="11">
        <v>5</v>
      </c>
      <c r="Q49" s="11">
        <v>3</v>
      </c>
      <c r="R49" s="11">
        <v>5</v>
      </c>
      <c r="S49" s="11">
        <v>5</v>
      </c>
      <c r="T49" s="11">
        <v>5</v>
      </c>
      <c r="U49" s="11">
        <v>4</v>
      </c>
      <c r="V49" s="11">
        <f t="shared" si="1"/>
        <v>79</v>
      </c>
    </row>
    <row r="50" spans="1:22" ht="15.75">
      <c r="A50" s="10">
        <v>42</v>
      </c>
      <c r="B50" s="11">
        <v>1</v>
      </c>
      <c r="C50" s="11">
        <v>3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1">
        <v>5</v>
      </c>
      <c r="K50" s="11">
        <v>5</v>
      </c>
      <c r="L50" s="11">
        <v>5</v>
      </c>
      <c r="M50" s="11">
        <v>5</v>
      </c>
      <c r="N50" s="11">
        <v>5</v>
      </c>
      <c r="O50" s="11">
        <v>5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f t="shared" si="1"/>
        <v>94</v>
      </c>
    </row>
    <row r="51" spans="1:22" ht="15.75">
      <c r="A51" s="10">
        <v>43</v>
      </c>
      <c r="B51" s="11">
        <v>5</v>
      </c>
      <c r="C51" s="11">
        <v>5</v>
      </c>
      <c r="D51" s="11">
        <v>1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1">
        <v>5</v>
      </c>
      <c r="K51" s="11">
        <v>4</v>
      </c>
      <c r="L51" s="11">
        <v>4</v>
      </c>
      <c r="M51" s="11">
        <v>4</v>
      </c>
      <c r="N51" s="11">
        <v>4</v>
      </c>
      <c r="O51" s="11">
        <v>4</v>
      </c>
      <c r="P51" s="11">
        <v>4</v>
      </c>
      <c r="Q51" s="11">
        <v>4</v>
      </c>
      <c r="R51" s="11">
        <v>4</v>
      </c>
      <c r="S51" s="11">
        <v>4</v>
      </c>
      <c r="T51" s="11">
        <v>4</v>
      </c>
      <c r="U51" s="11">
        <v>4</v>
      </c>
      <c r="V51" s="11">
        <f t="shared" si="1"/>
        <v>85</v>
      </c>
    </row>
    <row r="52" spans="1:22" ht="15.75">
      <c r="A52" s="10">
        <v>44</v>
      </c>
      <c r="B52" s="11">
        <v>5</v>
      </c>
      <c r="C52" s="11">
        <v>5</v>
      </c>
      <c r="D52" s="11">
        <v>1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1">
        <v>5</v>
      </c>
      <c r="K52" s="11">
        <v>5</v>
      </c>
      <c r="L52" s="11">
        <v>5</v>
      </c>
      <c r="M52" s="11">
        <v>5</v>
      </c>
      <c r="N52" s="11">
        <v>5</v>
      </c>
      <c r="O52" s="11">
        <v>5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f t="shared" si="1"/>
        <v>96</v>
      </c>
    </row>
    <row r="53" spans="1:22" ht="15.75">
      <c r="A53" s="10">
        <v>45</v>
      </c>
      <c r="B53" s="11">
        <v>5</v>
      </c>
      <c r="C53" s="11">
        <v>4</v>
      </c>
      <c r="D53" s="11">
        <v>1</v>
      </c>
      <c r="E53" s="11">
        <v>4</v>
      </c>
      <c r="F53" s="11">
        <v>5</v>
      </c>
      <c r="G53" s="11">
        <v>3</v>
      </c>
      <c r="H53" s="11">
        <v>5</v>
      </c>
      <c r="I53" s="11">
        <v>3</v>
      </c>
      <c r="J53" s="11">
        <v>5</v>
      </c>
      <c r="K53" s="11">
        <v>5</v>
      </c>
      <c r="L53" s="11">
        <v>3</v>
      </c>
      <c r="M53" s="11">
        <v>5</v>
      </c>
      <c r="N53" s="11">
        <v>5</v>
      </c>
      <c r="O53" s="11">
        <v>5</v>
      </c>
      <c r="P53" s="11">
        <v>5</v>
      </c>
      <c r="Q53" s="11">
        <v>3</v>
      </c>
      <c r="R53" s="11">
        <v>5</v>
      </c>
      <c r="S53" s="11">
        <v>5</v>
      </c>
      <c r="T53" s="11">
        <v>2</v>
      </c>
      <c r="U53" s="11">
        <v>5</v>
      </c>
      <c r="V53" s="11">
        <f t="shared" si="1"/>
        <v>83</v>
      </c>
    </row>
    <row r="54" spans="1:22" ht="15.75">
      <c r="A54" s="10">
        <v>46</v>
      </c>
      <c r="B54" s="11">
        <v>2</v>
      </c>
      <c r="C54" s="11">
        <v>5</v>
      </c>
      <c r="D54" s="11">
        <v>1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1">
        <v>5</v>
      </c>
      <c r="K54" s="11">
        <v>5</v>
      </c>
      <c r="L54" s="11">
        <v>4</v>
      </c>
      <c r="M54" s="11">
        <v>4</v>
      </c>
      <c r="N54" s="11">
        <v>4</v>
      </c>
      <c r="O54" s="11">
        <v>4</v>
      </c>
      <c r="P54" s="11">
        <v>4</v>
      </c>
      <c r="Q54" s="11">
        <v>4</v>
      </c>
      <c r="R54" s="11">
        <v>4</v>
      </c>
      <c r="S54" s="11">
        <v>4</v>
      </c>
      <c r="T54" s="11">
        <v>4</v>
      </c>
      <c r="U54" s="11">
        <v>4</v>
      </c>
      <c r="V54" s="11">
        <f t="shared" si="1"/>
        <v>83</v>
      </c>
    </row>
    <row r="55" spans="1:22" ht="15.75">
      <c r="A55" s="10">
        <v>47</v>
      </c>
      <c r="B55" s="11">
        <v>5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1">
        <v>5</v>
      </c>
      <c r="K55" s="11">
        <v>5</v>
      </c>
      <c r="L55" s="11">
        <v>5</v>
      </c>
      <c r="M55" s="11">
        <v>5</v>
      </c>
      <c r="N55" s="11">
        <v>5</v>
      </c>
      <c r="O55" s="11">
        <v>5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f t="shared" si="1"/>
        <v>100</v>
      </c>
    </row>
    <row r="56" spans="1:22" ht="15.75">
      <c r="A56" s="10">
        <v>48</v>
      </c>
      <c r="B56" s="11">
        <v>3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1">
        <v>5</v>
      </c>
      <c r="K56" s="11">
        <v>5</v>
      </c>
      <c r="L56" s="11">
        <v>5</v>
      </c>
      <c r="M56" s="11">
        <v>5</v>
      </c>
      <c r="N56" s="11">
        <v>4</v>
      </c>
      <c r="O56" s="11">
        <v>4</v>
      </c>
      <c r="P56" s="11">
        <v>4</v>
      </c>
      <c r="Q56" s="11">
        <v>4</v>
      </c>
      <c r="R56" s="11">
        <v>4</v>
      </c>
      <c r="S56" s="11">
        <v>4</v>
      </c>
      <c r="T56" s="11">
        <v>4</v>
      </c>
      <c r="U56" s="11">
        <v>4</v>
      </c>
      <c r="V56" s="11">
        <f t="shared" si="1"/>
        <v>90</v>
      </c>
    </row>
    <row r="57" spans="1:22" ht="15.75">
      <c r="A57" s="10">
        <v>49</v>
      </c>
      <c r="B57" s="11">
        <v>5</v>
      </c>
      <c r="C57" s="11">
        <v>5</v>
      </c>
      <c r="D57" s="11">
        <v>4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1">
        <v>5</v>
      </c>
      <c r="K57" s="11">
        <v>5</v>
      </c>
      <c r="L57" s="11">
        <v>5</v>
      </c>
      <c r="M57" s="11">
        <v>5</v>
      </c>
      <c r="N57" s="11">
        <v>5</v>
      </c>
      <c r="O57" s="11">
        <v>5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3</v>
      </c>
      <c r="V57" s="11">
        <f t="shared" si="1"/>
        <v>97</v>
      </c>
    </row>
    <row r="58" spans="1:22" ht="15.75">
      <c r="A58" s="10">
        <v>50</v>
      </c>
      <c r="B58" s="11">
        <v>4</v>
      </c>
      <c r="C58" s="11">
        <v>5</v>
      </c>
      <c r="D58" s="11">
        <v>4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1">
        <v>4</v>
      </c>
      <c r="K58" s="11">
        <v>5</v>
      </c>
      <c r="L58" s="11">
        <v>5</v>
      </c>
      <c r="M58" s="11">
        <v>5</v>
      </c>
      <c r="N58" s="11">
        <v>5</v>
      </c>
      <c r="O58" s="11">
        <v>5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f t="shared" si="1"/>
        <v>97</v>
      </c>
    </row>
    <row r="59" spans="1:22" ht="15.75">
      <c r="A59" s="10">
        <v>51</v>
      </c>
      <c r="B59" s="11">
        <v>5</v>
      </c>
      <c r="C59" s="11">
        <v>5</v>
      </c>
      <c r="D59" s="11">
        <v>4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1">
        <v>4</v>
      </c>
      <c r="K59" s="11">
        <v>5</v>
      </c>
      <c r="L59" s="11">
        <v>5</v>
      </c>
      <c r="M59" s="11">
        <v>5</v>
      </c>
      <c r="N59" s="11">
        <v>5</v>
      </c>
      <c r="O59" s="11">
        <v>5</v>
      </c>
      <c r="P59" s="11">
        <v>5</v>
      </c>
      <c r="Q59" s="11">
        <v>4</v>
      </c>
      <c r="R59" s="11">
        <v>5</v>
      </c>
      <c r="S59" s="11">
        <v>5</v>
      </c>
      <c r="T59" s="11">
        <v>5</v>
      </c>
      <c r="U59" s="11">
        <v>2</v>
      </c>
      <c r="V59" s="11">
        <f t="shared" si="1"/>
        <v>94</v>
      </c>
    </row>
    <row r="60" spans="1:22" ht="15.75">
      <c r="A60" s="10">
        <v>52</v>
      </c>
      <c r="B60" s="11">
        <v>5</v>
      </c>
      <c r="C60" s="11">
        <v>5</v>
      </c>
      <c r="D60" s="11">
        <v>4</v>
      </c>
      <c r="E60" s="11">
        <v>5</v>
      </c>
      <c r="F60" s="11">
        <v>5</v>
      </c>
      <c r="G60" s="11">
        <v>5</v>
      </c>
      <c r="H60" s="11">
        <v>4</v>
      </c>
      <c r="I60" s="11">
        <v>5</v>
      </c>
      <c r="J60" s="11">
        <v>5</v>
      </c>
      <c r="K60" s="11">
        <v>5</v>
      </c>
      <c r="L60" s="11">
        <v>5</v>
      </c>
      <c r="M60" s="11">
        <v>5</v>
      </c>
      <c r="N60" s="11">
        <v>5</v>
      </c>
      <c r="O60" s="11">
        <v>4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2</v>
      </c>
      <c r="V60" s="11">
        <f t="shared" si="1"/>
        <v>94</v>
      </c>
    </row>
    <row r="61" spans="1:22" ht="15.75">
      <c r="A61" s="10">
        <v>53</v>
      </c>
      <c r="B61" s="11">
        <v>5</v>
      </c>
      <c r="C61" s="11">
        <v>5</v>
      </c>
      <c r="D61" s="11">
        <v>4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1">
        <v>5</v>
      </c>
      <c r="K61" s="11">
        <v>5</v>
      </c>
      <c r="L61" s="11">
        <v>4</v>
      </c>
      <c r="M61" s="11">
        <v>5</v>
      </c>
      <c r="N61" s="11">
        <v>5</v>
      </c>
      <c r="O61" s="11">
        <v>5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2</v>
      </c>
      <c r="V61" s="11">
        <f t="shared" si="1"/>
        <v>95</v>
      </c>
    </row>
    <row r="62" spans="1:22" ht="15.75">
      <c r="A62" s="10">
        <v>54</v>
      </c>
      <c r="B62" s="11">
        <v>5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1">
        <v>5</v>
      </c>
      <c r="K62" s="11">
        <v>5</v>
      </c>
      <c r="L62" s="11">
        <v>5</v>
      </c>
      <c r="M62" s="11">
        <v>5</v>
      </c>
      <c r="N62" s="11">
        <v>5</v>
      </c>
      <c r="O62" s="11">
        <v>5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f t="shared" si="1"/>
        <v>100</v>
      </c>
    </row>
    <row r="63" spans="1:22" ht="15.75">
      <c r="A63" s="10">
        <v>55</v>
      </c>
      <c r="B63" s="11">
        <v>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4</v>
      </c>
      <c r="I63" s="11">
        <v>5</v>
      </c>
      <c r="J63" s="11">
        <v>4</v>
      </c>
      <c r="K63" s="11">
        <v>5</v>
      </c>
      <c r="L63" s="11">
        <v>5</v>
      </c>
      <c r="M63" s="11">
        <v>5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f t="shared" si="1"/>
        <v>97</v>
      </c>
    </row>
    <row r="64" spans="1:22" ht="15.75">
      <c r="A64" s="10">
        <v>56</v>
      </c>
      <c r="B64" s="11">
        <v>5</v>
      </c>
      <c r="C64" s="11">
        <v>5</v>
      </c>
      <c r="D64" s="11">
        <v>5</v>
      </c>
      <c r="E64" s="11">
        <v>5</v>
      </c>
      <c r="F64" s="11">
        <v>4</v>
      </c>
      <c r="G64" s="11">
        <v>5</v>
      </c>
      <c r="H64" s="11">
        <v>5</v>
      </c>
      <c r="I64" s="11">
        <v>5</v>
      </c>
      <c r="J64" s="11">
        <v>5</v>
      </c>
      <c r="K64" s="11">
        <v>5</v>
      </c>
      <c r="L64" s="11">
        <v>5</v>
      </c>
      <c r="M64" s="11">
        <v>5</v>
      </c>
      <c r="N64" s="11">
        <v>4</v>
      </c>
      <c r="O64" s="11">
        <v>5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f t="shared" si="1"/>
        <v>98</v>
      </c>
    </row>
    <row r="65" spans="1:23" ht="15.75">
      <c r="A65" s="10">
        <v>57</v>
      </c>
      <c r="B65" s="11">
        <v>5</v>
      </c>
      <c r="C65" s="11">
        <v>5</v>
      </c>
      <c r="D65" s="11">
        <v>5</v>
      </c>
      <c r="E65" s="11">
        <v>5</v>
      </c>
      <c r="F65" s="11">
        <v>4</v>
      </c>
      <c r="G65" s="11">
        <v>5</v>
      </c>
      <c r="H65" s="11">
        <v>5</v>
      </c>
      <c r="I65" s="11">
        <v>5</v>
      </c>
      <c r="J65" s="11">
        <v>5</v>
      </c>
      <c r="K65" s="11">
        <v>5</v>
      </c>
      <c r="L65" s="11">
        <v>5</v>
      </c>
      <c r="M65" s="11">
        <v>4</v>
      </c>
      <c r="N65" s="11">
        <v>5</v>
      </c>
      <c r="O65" s="11">
        <v>5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f t="shared" si="1"/>
        <v>98</v>
      </c>
      <c r="W65"/>
    </row>
    <row r="66" spans="1:23" ht="15.75">
      <c r="A66" s="13"/>
      <c r="B66" s="11">
        <f>SUM(B9:B65)</f>
        <v>272</v>
      </c>
      <c r="C66" s="11">
        <f t="shared" ref="C66:U66" si="2">SUM(C9:C65)</f>
        <v>252</v>
      </c>
      <c r="D66" s="11">
        <f t="shared" si="2"/>
        <v>236</v>
      </c>
      <c r="E66" s="11">
        <f t="shared" si="2"/>
        <v>259</v>
      </c>
      <c r="F66" s="11">
        <f t="shared" si="2"/>
        <v>260</v>
      </c>
      <c r="G66" s="11">
        <f t="shared" si="2"/>
        <v>252</v>
      </c>
      <c r="H66" s="11">
        <f t="shared" si="2"/>
        <v>252</v>
      </c>
      <c r="I66" s="11">
        <f t="shared" si="2"/>
        <v>255</v>
      </c>
      <c r="J66" s="11">
        <f t="shared" si="2"/>
        <v>242</v>
      </c>
      <c r="K66" s="11">
        <f t="shared" si="2"/>
        <v>253</v>
      </c>
      <c r="L66" s="11">
        <f t="shared" si="2"/>
        <v>230</v>
      </c>
      <c r="M66" s="11">
        <f t="shared" si="2"/>
        <v>253</v>
      </c>
      <c r="N66" s="11">
        <f t="shared" si="2"/>
        <v>258</v>
      </c>
      <c r="O66" s="11">
        <f t="shared" si="2"/>
        <v>252</v>
      </c>
      <c r="P66" s="11">
        <f t="shared" si="2"/>
        <v>261</v>
      </c>
      <c r="Q66" s="11">
        <f t="shared" si="2"/>
        <v>262</v>
      </c>
      <c r="R66" s="11">
        <f t="shared" si="2"/>
        <v>262</v>
      </c>
      <c r="S66" s="11">
        <f t="shared" si="2"/>
        <v>276</v>
      </c>
      <c r="T66" s="11">
        <f t="shared" si="2"/>
        <v>277</v>
      </c>
      <c r="U66" s="11">
        <f t="shared" si="2"/>
        <v>239</v>
      </c>
      <c r="V66" s="12">
        <v>5621</v>
      </c>
      <c r="W66" s="14"/>
    </row>
    <row r="67" spans="1:23" ht="15.75">
      <c r="A67" s="13"/>
      <c r="B67" s="15">
        <f>AVERAGE(B66/57)</f>
        <v>4.7719298245613997</v>
      </c>
      <c r="C67" s="15">
        <f t="shared" ref="C67:U67" si="3">AVERAGE(C66/57)</f>
        <v>4.4210526315789496</v>
      </c>
      <c r="D67" s="15">
        <f t="shared" si="3"/>
        <v>4.1403508771929802</v>
      </c>
      <c r="E67" s="15">
        <f t="shared" si="3"/>
        <v>4.54385964912281</v>
      </c>
      <c r="F67" s="15">
        <f t="shared" si="3"/>
        <v>4.5614035087719298</v>
      </c>
      <c r="G67" s="15">
        <f t="shared" si="3"/>
        <v>4.4210526315789496</v>
      </c>
      <c r="H67" s="15">
        <f t="shared" si="3"/>
        <v>4.4210526315789496</v>
      </c>
      <c r="I67" s="15">
        <f t="shared" si="3"/>
        <v>4.4736842105263204</v>
      </c>
      <c r="J67" s="15">
        <f t="shared" si="3"/>
        <v>4.2456140350877201</v>
      </c>
      <c r="K67" s="15">
        <f t="shared" si="3"/>
        <v>4.4385964912280702</v>
      </c>
      <c r="L67" s="15">
        <f t="shared" si="3"/>
        <v>4.0350877192982502</v>
      </c>
      <c r="M67" s="15">
        <f t="shared" si="3"/>
        <v>4.4385964912280702</v>
      </c>
      <c r="N67" s="15">
        <f t="shared" si="3"/>
        <v>4.5263157894736796</v>
      </c>
      <c r="O67" s="15">
        <f t="shared" si="3"/>
        <v>4.4210526315789496</v>
      </c>
      <c r="P67" s="15">
        <f t="shared" si="3"/>
        <v>4.5789473684210504</v>
      </c>
      <c r="Q67" s="15">
        <f t="shared" si="3"/>
        <v>4.59649122807018</v>
      </c>
      <c r="R67" s="15">
        <f t="shared" si="3"/>
        <v>4.59649122807018</v>
      </c>
      <c r="S67" s="15">
        <f t="shared" si="3"/>
        <v>4.8421052631578902</v>
      </c>
      <c r="T67" s="15">
        <f t="shared" si="3"/>
        <v>4.8596491228070198</v>
      </c>
      <c r="U67" s="15">
        <f t="shared" si="3"/>
        <v>4.1929824561403501</v>
      </c>
      <c r="V67" s="36">
        <v>4.4800000000000004</v>
      </c>
      <c r="W67"/>
    </row>
    <row r="68" spans="1:23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9"/>
      <c r="U68" s="19"/>
      <c r="V68" s="17"/>
      <c r="W68"/>
    </row>
    <row r="69" spans="1:23">
      <c r="A69" s="99" t="s">
        <v>8</v>
      </c>
      <c r="B69" s="20">
        <v>1.1000000000000001</v>
      </c>
      <c r="C69" s="20">
        <v>1.2</v>
      </c>
      <c r="D69" s="20">
        <v>1.3</v>
      </c>
      <c r="E69" s="20">
        <v>1.4</v>
      </c>
      <c r="F69" s="20">
        <v>1.5</v>
      </c>
      <c r="G69" s="20">
        <v>2.1</v>
      </c>
      <c r="H69" s="20">
        <v>2.2000000000000002</v>
      </c>
      <c r="I69" s="20">
        <v>2.2999999999999998</v>
      </c>
      <c r="J69" s="20">
        <v>2.4</v>
      </c>
      <c r="K69" s="20">
        <v>2.5</v>
      </c>
      <c r="L69" s="20">
        <v>3.1</v>
      </c>
      <c r="M69" s="20">
        <v>3.2</v>
      </c>
      <c r="N69" s="20">
        <v>3.3</v>
      </c>
      <c r="O69" s="20">
        <v>3.4</v>
      </c>
      <c r="P69" s="20">
        <v>3.5</v>
      </c>
      <c r="Q69" s="20">
        <v>4.0999999999999996</v>
      </c>
      <c r="R69" s="20">
        <v>4.2</v>
      </c>
      <c r="S69" s="20">
        <v>4.3</v>
      </c>
      <c r="T69" s="20">
        <v>4.4000000000000004</v>
      </c>
      <c r="U69" s="20">
        <v>4.5</v>
      </c>
      <c r="V69" s="102" t="s">
        <v>7</v>
      </c>
      <c r="W69"/>
    </row>
    <row r="70" spans="1:23">
      <c r="A70" s="100"/>
      <c r="B70" s="89" t="s">
        <v>9</v>
      </c>
      <c r="C70" s="89"/>
      <c r="D70" s="89"/>
      <c r="E70" s="89"/>
      <c r="F70" s="89"/>
      <c r="G70" s="90" t="s">
        <v>10</v>
      </c>
      <c r="H70" s="90"/>
      <c r="I70" s="90"/>
      <c r="J70" s="90"/>
      <c r="K70" s="90"/>
      <c r="L70" s="90" t="s">
        <v>11</v>
      </c>
      <c r="M70" s="90"/>
      <c r="N70" s="90"/>
      <c r="O70" s="90"/>
      <c r="P70" s="90"/>
      <c r="Q70" s="90" t="s">
        <v>12</v>
      </c>
      <c r="R70" s="90"/>
      <c r="S70" s="90"/>
      <c r="T70" s="90"/>
      <c r="U70" s="90"/>
      <c r="V70" s="103"/>
      <c r="W70"/>
    </row>
    <row r="71" spans="1:23" ht="15.75">
      <c r="A71" s="101"/>
      <c r="B71" s="21">
        <v>4.7719298245613997</v>
      </c>
      <c r="C71" s="21">
        <v>4.4210526315789496</v>
      </c>
      <c r="D71" s="21">
        <v>4.1403508771929802</v>
      </c>
      <c r="E71" s="21">
        <v>4.54385964912281</v>
      </c>
      <c r="F71" s="21">
        <v>4.5614035087719298</v>
      </c>
      <c r="G71" s="21">
        <v>4.4210526315789496</v>
      </c>
      <c r="H71" s="21">
        <v>4.4210526315789496</v>
      </c>
      <c r="I71" s="21">
        <v>4.4736842105263204</v>
      </c>
      <c r="J71" s="21">
        <v>4.2456140350877201</v>
      </c>
      <c r="K71" s="21">
        <v>4.4385964912280702</v>
      </c>
      <c r="L71" s="21">
        <v>4.0350877192982502</v>
      </c>
      <c r="M71" s="21">
        <v>4.4385964912280702</v>
      </c>
      <c r="N71" s="21">
        <v>4.5263157894736796</v>
      </c>
      <c r="O71" s="21">
        <v>4.4210526315789496</v>
      </c>
      <c r="P71" s="21">
        <v>4.5789473684210504</v>
      </c>
      <c r="Q71" s="21">
        <v>4.59649122807018</v>
      </c>
      <c r="R71" s="21">
        <v>4.59649122807018</v>
      </c>
      <c r="S71" s="21">
        <v>4.8421052631578902</v>
      </c>
      <c r="T71" s="21">
        <v>4.8596491228070198</v>
      </c>
      <c r="U71" s="21">
        <v>4.1929824561403501</v>
      </c>
      <c r="V71" s="22">
        <v>4.4800000000000004</v>
      </c>
      <c r="W71"/>
    </row>
    <row r="72" spans="1:23">
      <c r="A72" s="92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2"/>
      <c r="W72"/>
    </row>
    <row r="73" spans="1:23" ht="45.75">
      <c r="A73" s="23" t="s">
        <v>13</v>
      </c>
      <c r="B73" s="24">
        <v>1.1000000000000001</v>
      </c>
      <c r="C73" s="24">
        <v>1.2</v>
      </c>
      <c r="D73" s="24">
        <v>1.3</v>
      </c>
      <c r="E73" s="24">
        <v>1.4</v>
      </c>
      <c r="F73" s="24">
        <v>1.5</v>
      </c>
      <c r="G73" s="24">
        <v>2.1</v>
      </c>
      <c r="H73" s="24">
        <v>2.2000000000000002</v>
      </c>
      <c r="I73" s="24">
        <v>2.2999999999999998</v>
      </c>
      <c r="J73" s="24">
        <v>2.4</v>
      </c>
      <c r="K73" s="24">
        <v>2.5</v>
      </c>
      <c r="L73" s="24">
        <v>3.1</v>
      </c>
      <c r="M73" s="24">
        <v>3.2</v>
      </c>
      <c r="N73" s="24">
        <v>3.3</v>
      </c>
      <c r="O73" s="24">
        <v>3.4</v>
      </c>
      <c r="P73" s="24">
        <v>3.5</v>
      </c>
      <c r="Q73" s="24">
        <v>4.0999999999999996</v>
      </c>
      <c r="R73" s="24">
        <v>4.2</v>
      </c>
      <c r="S73" s="24">
        <v>4.3</v>
      </c>
      <c r="T73" s="24">
        <v>4.4000000000000004</v>
      </c>
      <c r="U73" s="24">
        <v>4.5</v>
      </c>
      <c r="V73" s="24" t="s">
        <v>6</v>
      </c>
      <c r="W73"/>
    </row>
    <row r="74" spans="1:23">
      <c r="A74" s="20">
        <v>5</v>
      </c>
      <c r="B74" s="25">
        <f>COUNTIF(B9:B65,5)</f>
        <v>51</v>
      </c>
      <c r="C74" s="25">
        <f t="shared" ref="C74:U74" si="4">COUNTIF(C9:C65,5)</f>
        <v>45</v>
      </c>
      <c r="D74" s="25">
        <f t="shared" si="4"/>
        <v>39</v>
      </c>
      <c r="E74" s="25">
        <f t="shared" si="4"/>
        <v>46</v>
      </c>
      <c r="F74" s="25">
        <f t="shared" si="4"/>
        <v>47</v>
      </c>
      <c r="G74" s="25">
        <f t="shared" si="4"/>
        <v>39</v>
      </c>
      <c r="H74" s="25">
        <f t="shared" si="4"/>
        <v>44</v>
      </c>
      <c r="I74" s="25">
        <f t="shared" si="4"/>
        <v>44</v>
      </c>
      <c r="J74" s="25">
        <f t="shared" si="4"/>
        <v>37</v>
      </c>
      <c r="K74" s="25">
        <f t="shared" si="4"/>
        <v>44</v>
      </c>
      <c r="L74" s="25">
        <f t="shared" si="4"/>
        <v>34</v>
      </c>
      <c r="M74" s="25">
        <f t="shared" si="4"/>
        <v>43</v>
      </c>
      <c r="N74" s="25">
        <f t="shared" si="4"/>
        <v>42</v>
      </c>
      <c r="O74" s="25">
        <f t="shared" si="4"/>
        <v>40</v>
      </c>
      <c r="P74" s="25">
        <f t="shared" si="4"/>
        <v>43</v>
      </c>
      <c r="Q74" s="25">
        <f t="shared" si="4"/>
        <v>43</v>
      </c>
      <c r="R74" s="25">
        <f t="shared" si="4"/>
        <v>45</v>
      </c>
      <c r="S74" s="25">
        <f t="shared" si="4"/>
        <v>48</v>
      </c>
      <c r="T74" s="25">
        <f t="shared" si="4"/>
        <v>51</v>
      </c>
      <c r="U74" s="25">
        <f t="shared" si="4"/>
        <v>39</v>
      </c>
      <c r="V74" s="25">
        <f>SUM(B74:U74)</f>
        <v>864</v>
      </c>
      <c r="W74"/>
    </row>
    <row r="75" spans="1:23">
      <c r="A75" s="20">
        <v>4</v>
      </c>
      <c r="B75" s="25">
        <f>COUNTIF(B9:B65,4)</f>
        <v>2</v>
      </c>
      <c r="C75" s="25">
        <f t="shared" ref="C75:U75" si="5">COUNTIF(C9:C65,4)</f>
        <v>3</v>
      </c>
      <c r="D75" s="25">
        <f t="shared" si="5"/>
        <v>7</v>
      </c>
      <c r="E75" s="25">
        <f t="shared" si="5"/>
        <v>2</v>
      </c>
      <c r="F75" s="25">
        <f t="shared" si="5"/>
        <v>3</v>
      </c>
      <c r="G75" s="25">
        <f t="shared" si="5"/>
        <v>9</v>
      </c>
      <c r="H75" s="25">
        <f t="shared" si="5"/>
        <v>3</v>
      </c>
      <c r="I75" s="25">
        <f t="shared" si="5"/>
        <v>3</v>
      </c>
      <c r="J75" s="25">
        <f t="shared" si="5"/>
        <v>6</v>
      </c>
      <c r="K75" s="25">
        <f t="shared" si="5"/>
        <v>4</v>
      </c>
      <c r="L75" s="25">
        <f t="shared" si="5"/>
        <v>8</v>
      </c>
      <c r="M75" s="25">
        <f t="shared" si="5"/>
        <v>5</v>
      </c>
      <c r="N75" s="25">
        <f t="shared" si="5"/>
        <v>8</v>
      </c>
      <c r="O75" s="25">
        <f t="shared" si="5"/>
        <v>9</v>
      </c>
      <c r="P75" s="25">
        <f t="shared" si="5"/>
        <v>8</v>
      </c>
      <c r="Q75" s="25">
        <f t="shared" si="5"/>
        <v>9</v>
      </c>
      <c r="R75" s="25">
        <f t="shared" si="5"/>
        <v>7</v>
      </c>
      <c r="S75" s="25">
        <f t="shared" si="5"/>
        <v>9</v>
      </c>
      <c r="T75" s="25">
        <f t="shared" si="5"/>
        <v>5</v>
      </c>
      <c r="U75" s="25">
        <f t="shared" si="5"/>
        <v>6</v>
      </c>
      <c r="V75" s="25">
        <f>SUM(B75:U75)</f>
        <v>116</v>
      </c>
      <c r="W75"/>
    </row>
    <row r="76" spans="1:23">
      <c r="A76" s="20">
        <v>3</v>
      </c>
      <c r="B76" s="25">
        <f>COUNTIF(B9:B65,3)</f>
        <v>2</v>
      </c>
      <c r="C76" s="25">
        <f t="shared" ref="C76:U76" si="6">COUNTIF(C9:C65,3)</f>
        <v>2</v>
      </c>
      <c r="D76" s="25">
        <f t="shared" si="6"/>
        <v>1</v>
      </c>
      <c r="E76" s="25">
        <f t="shared" si="6"/>
        <v>6</v>
      </c>
      <c r="F76" s="25">
        <f t="shared" si="6"/>
        <v>2</v>
      </c>
      <c r="G76" s="25">
        <f t="shared" si="6"/>
        <v>5</v>
      </c>
      <c r="H76" s="25">
        <f t="shared" si="6"/>
        <v>3</v>
      </c>
      <c r="I76" s="25">
        <f t="shared" si="6"/>
        <v>4</v>
      </c>
      <c r="J76" s="25">
        <f t="shared" si="6"/>
        <v>7</v>
      </c>
      <c r="K76" s="25">
        <f t="shared" si="6"/>
        <v>3</v>
      </c>
      <c r="L76" s="25">
        <f t="shared" si="6"/>
        <v>5</v>
      </c>
      <c r="M76" s="25">
        <f t="shared" si="6"/>
        <v>3</v>
      </c>
      <c r="N76" s="25">
        <f t="shared" si="6"/>
        <v>3</v>
      </c>
      <c r="O76" s="25">
        <f t="shared" si="6"/>
        <v>2</v>
      </c>
      <c r="P76" s="25">
        <f t="shared" si="6"/>
        <v>2</v>
      </c>
      <c r="Q76" s="25">
        <f t="shared" si="6"/>
        <v>2</v>
      </c>
      <c r="R76" s="25">
        <f t="shared" si="6"/>
        <v>0</v>
      </c>
      <c r="S76" s="25">
        <f t="shared" si="6"/>
        <v>0</v>
      </c>
      <c r="T76" s="25">
        <f t="shared" si="6"/>
        <v>0</v>
      </c>
      <c r="U76" s="25">
        <f t="shared" si="6"/>
        <v>1</v>
      </c>
      <c r="V76" s="25">
        <f>SUM(B76:U76)</f>
        <v>53</v>
      </c>
      <c r="W76"/>
    </row>
    <row r="77" spans="1:23">
      <c r="A77" s="20">
        <v>2</v>
      </c>
      <c r="B77" s="25">
        <f>COUNTIF(B9:B65,2)</f>
        <v>1</v>
      </c>
      <c r="C77" s="25">
        <f t="shared" ref="C77:U77" si="7">COUNTIF(C9:C65,2)</f>
        <v>2</v>
      </c>
      <c r="D77" s="25">
        <f t="shared" si="7"/>
        <v>0</v>
      </c>
      <c r="E77" s="25">
        <f t="shared" si="7"/>
        <v>0</v>
      </c>
      <c r="F77" s="25">
        <f t="shared" si="7"/>
        <v>2</v>
      </c>
      <c r="G77" s="25">
        <f t="shared" si="7"/>
        <v>2</v>
      </c>
      <c r="H77" s="25">
        <f t="shared" si="7"/>
        <v>4</v>
      </c>
      <c r="I77" s="25">
        <f t="shared" si="7"/>
        <v>5</v>
      </c>
      <c r="J77" s="25">
        <f t="shared" si="7"/>
        <v>5</v>
      </c>
      <c r="K77" s="25">
        <f t="shared" si="7"/>
        <v>2</v>
      </c>
      <c r="L77" s="25">
        <f t="shared" si="7"/>
        <v>3</v>
      </c>
      <c r="M77" s="25">
        <f t="shared" si="7"/>
        <v>3</v>
      </c>
      <c r="N77" s="25">
        <f t="shared" si="7"/>
        <v>3</v>
      </c>
      <c r="O77" s="25">
        <f t="shared" si="7"/>
        <v>4</v>
      </c>
      <c r="P77" s="25">
        <f t="shared" si="7"/>
        <v>4</v>
      </c>
      <c r="Q77" s="25">
        <f t="shared" si="7"/>
        <v>2</v>
      </c>
      <c r="R77" s="25">
        <f t="shared" si="7"/>
        <v>4</v>
      </c>
      <c r="S77" s="25">
        <f t="shared" si="7"/>
        <v>0</v>
      </c>
      <c r="T77" s="25">
        <f t="shared" si="7"/>
        <v>1</v>
      </c>
      <c r="U77" s="25">
        <f t="shared" si="7"/>
        <v>6</v>
      </c>
      <c r="V77" s="25">
        <f>SUM(B77:U77)</f>
        <v>53</v>
      </c>
      <c r="W77"/>
    </row>
    <row r="78" spans="1:23">
      <c r="A78" s="20">
        <v>1</v>
      </c>
      <c r="B78" s="25">
        <f>COUNTIF(B9:B65,1)</f>
        <v>1</v>
      </c>
      <c r="C78" s="25">
        <f t="shared" ref="C78:U78" si="8">COUNTIF(C9:C65,1)</f>
        <v>5</v>
      </c>
      <c r="D78" s="25">
        <f t="shared" si="8"/>
        <v>10</v>
      </c>
      <c r="E78" s="25">
        <f t="shared" si="8"/>
        <v>3</v>
      </c>
      <c r="F78" s="25">
        <f t="shared" si="8"/>
        <v>3</v>
      </c>
      <c r="G78" s="25">
        <f t="shared" si="8"/>
        <v>2</v>
      </c>
      <c r="H78" s="25">
        <f t="shared" si="8"/>
        <v>3</v>
      </c>
      <c r="I78" s="25">
        <f t="shared" si="8"/>
        <v>1</v>
      </c>
      <c r="J78" s="25">
        <f t="shared" si="8"/>
        <v>2</v>
      </c>
      <c r="K78" s="25">
        <f t="shared" si="8"/>
        <v>4</v>
      </c>
      <c r="L78" s="25">
        <f t="shared" si="8"/>
        <v>7</v>
      </c>
      <c r="M78" s="25">
        <f t="shared" si="8"/>
        <v>3</v>
      </c>
      <c r="N78" s="25">
        <f t="shared" si="8"/>
        <v>1</v>
      </c>
      <c r="O78" s="25">
        <f t="shared" si="8"/>
        <v>2</v>
      </c>
      <c r="P78" s="25">
        <f t="shared" si="8"/>
        <v>0</v>
      </c>
      <c r="Q78" s="25">
        <f t="shared" si="8"/>
        <v>1</v>
      </c>
      <c r="R78" s="25">
        <f t="shared" si="8"/>
        <v>1</v>
      </c>
      <c r="S78" s="25">
        <f t="shared" si="8"/>
        <v>0</v>
      </c>
      <c r="T78" s="25">
        <f t="shared" si="8"/>
        <v>0</v>
      </c>
      <c r="U78" s="25">
        <f t="shared" si="8"/>
        <v>5</v>
      </c>
      <c r="V78" s="25">
        <f>SUM(B78:U78)</f>
        <v>54</v>
      </c>
      <c r="W78"/>
    </row>
    <row r="79" spans="1:23" ht="15.75">
      <c r="A79" s="26"/>
      <c r="B79" s="26"/>
      <c r="C79" s="26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27"/>
      <c r="W79"/>
    </row>
    <row r="80" spans="1:2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 s="28"/>
    </row>
    <row r="81" spans="1:22">
      <c r="A81" s="119" t="s">
        <v>9</v>
      </c>
      <c r="B81" s="119"/>
      <c r="C81" s="119"/>
      <c r="D81" s="119"/>
      <c r="E81" s="37">
        <v>4.7719298245613997</v>
      </c>
      <c r="F81" s="37">
        <v>4.4210526315789496</v>
      </c>
      <c r="G81" s="37">
        <v>4.1403508771929802</v>
      </c>
      <c r="H81" s="37">
        <v>4.54385964912281</v>
      </c>
      <c r="I81" s="37">
        <v>4.5614035087719298</v>
      </c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A82" s="119" t="s">
        <v>10</v>
      </c>
      <c r="B82" s="119"/>
      <c r="C82" s="119"/>
      <c r="D82" s="119"/>
      <c r="E82" s="37">
        <v>4.4210526315789496</v>
      </c>
      <c r="F82" s="37">
        <v>4.4210526315789496</v>
      </c>
      <c r="G82" s="37">
        <v>4.4736842105263204</v>
      </c>
      <c r="H82" s="37">
        <v>4.2456140350877201</v>
      </c>
      <c r="I82" s="37">
        <v>4.4385964912280702</v>
      </c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ht="27.95" customHeight="1">
      <c r="A83" s="120" t="s">
        <v>14</v>
      </c>
      <c r="B83" s="121"/>
      <c r="C83" s="121"/>
      <c r="D83" s="122"/>
      <c r="E83" s="37">
        <v>4.0350877192982502</v>
      </c>
      <c r="F83" s="37">
        <v>4.4385964912280702</v>
      </c>
      <c r="G83" s="37">
        <v>4.5263157894736796</v>
      </c>
      <c r="H83" s="37">
        <v>4.4210526315789496</v>
      </c>
      <c r="I83" s="37">
        <v>4.5789473684210504</v>
      </c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s="123" t="s">
        <v>12</v>
      </c>
      <c r="B84" s="123"/>
      <c r="C84" s="123"/>
      <c r="D84" s="123"/>
      <c r="E84" s="37">
        <v>4.59649122807018</v>
      </c>
      <c r="F84" s="37">
        <v>4.59649122807018</v>
      </c>
      <c r="G84" s="37">
        <v>4.8421052631578902</v>
      </c>
      <c r="H84" s="37">
        <v>4.8596491228070198</v>
      </c>
      <c r="I84" s="37">
        <v>4.1929824561403501</v>
      </c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s="38"/>
      <c r="B85" s="38"/>
      <c r="C85" s="38"/>
      <c r="D85" s="38"/>
    </row>
    <row r="86" spans="1:22" ht="15" customHeight="1"/>
    <row r="87" spans="1:22" ht="15" customHeight="1"/>
    <row r="88" spans="1:22" ht="15" customHeight="1"/>
    <row r="89" spans="1:22" ht="15" customHeight="1"/>
    <row r="91" spans="1:22" ht="15" customHeight="1"/>
    <row r="92" spans="1:22" ht="15" customHeight="1"/>
    <row r="93" spans="1:22" ht="15.75" customHeight="1">
      <c r="A93" s="30"/>
      <c r="B93" s="30"/>
      <c r="C93" s="30"/>
      <c r="D93" s="30"/>
      <c r="E93" s="30"/>
      <c r="F93" s="30"/>
      <c r="G93" s="30"/>
      <c r="H93" s="30"/>
      <c r="I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spans="1:22" ht="15" customHeight="1">
      <c r="A94" s="30"/>
      <c r="B94" s="30"/>
    </row>
    <row r="101" spans="1:20" ht="15.75">
      <c r="A101" s="30" t="s">
        <v>15</v>
      </c>
      <c r="B101" s="30"/>
      <c r="C101" s="30"/>
      <c r="J101" s="30" t="s">
        <v>16</v>
      </c>
      <c r="K101" s="30"/>
      <c r="L101" s="30"/>
      <c r="T101" s="30" t="s">
        <v>17</v>
      </c>
    </row>
  </sheetData>
  <mergeCells count="14">
    <mergeCell ref="A72:V72"/>
    <mergeCell ref="A81:D81"/>
    <mergeCell ref="A82:D82"/>
    <mergeCell ref="A83:D83"/>
    <mergeCell ref="A84:D84"/>
    <mergeCell ref="A4:V4"/>
    <mergeCell ref="A5:V5"/>
    <mergeCell ref="F6:P6"/>
    <mergeCell ref="B70:F70"/>
    <mergeCell ref="G70:K70"/>
    <mergeCell ref="L70:P70"/>
    <mergeCell ref="Q70:U70"/>
    <mergeCell ref="A69:A71"/>
    <mergeCell ref="V69:V70"/>
  </mergeCells>
  <pageMargins left="0.39305555555555599" right="0.27" top="0.26" bottom="0.196850393700787" header="0.23" footer="0.2"/>
  <pageSetup paperSize="9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4:V92"/>
  <sheetViews>
    <sheetView tabSelected="1" topLeftCell="A65" workbookViewId="0">
      <selection activeCell="K95" sqref="K95"/>
    </sheetView>
  </sheetViews>
  <sheetFormatPr defaultColWidth="9" defaultRowHeight="15"/>
  <cols>
    <col min="2" max="2" width="5.7109375" customWidth="1"/>
    <col min="3" max="3" width="6.140625" customWidth="1"/>
    <col min="4" max="4" width="6.28515625" customWidth="1"/>
    <col min="5" max="5" width="7.85546875" customWidth="1"/>
    <col min="6" max="6" width="6.7109375" customWidth="1"/>
    <col min="7" max="7" width="5.85546875" customWidth="1"/>
    <col min="8" max="8" width="6.85546875" customWidth="1"/>
    <col min="9" max="9" width="7.140625" customWidth="1"/>
    <col min="10" max="10" width="6.7109375" customWidth="1"/>
    <col min="11" max="11" width="7.85546875" customWidth="1"/>
    <col min="12" max="12" width="8.42578125" customWidth="1"/>
    <col min="13" max="13" width="9.140625" customWidth="1"/>
    <col min="15" max="15" width="10.7109375" customWidth="1"/>
    <col min="16" max="16" width="9.28515625" customWidth="1"/>
    <col min="17" max="17" width="8.85546875" customWidth="1"/>
    <col min="18" max="18" width="7.85546875" customWidth="1"/>
    <col min="19" max="19" width="7.5703125" customWidth="1"/>
    <col min="20" max="20" width="9" customWidth="1"/>
    <col min="21" max="21" width="8.28515625" customWidth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24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25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26</v>
      </c>
      <c r="R7" s="5" t="s">
        <v>37</v>
      </c>
      <c r="S7" s="5"/>
      <c r="T7" s="5"/>
      <c r="U7" s="6"/>
      <c r="V7" s="3"/>
    </row>
    <row r="8" spans="1:22">
      <c r="A8" s="31" t="s">
        <v>5</v>
      </c>
      <c r="B8" s="20">
        <v>1.1000000000000001</v>
      </c>
      <c r="C8" s="20">
        <v>1.2</v>
      </c>
      <c r="D8" s="20">
        <v>1.3</v>
      </c>
      <c r="E8" s="20">
        <v>1.4</v>
      </c>
      <c r="F8" s="20">
        <v>1.5</v>
      </c>
      <c r="G8" s="20">
        <v>2.1</v>
      </c>
      <c r="H8" s="20">
        <v>2.2000000000000002</v>
      </c>
      <c r="I8" s="20">
        <v>2.2999999999999998</v>
      </c>
      <c r="J8" s="20">
        <v>2.4</v>
      </c>
      <c r="K8" s="20">
        <v>2.5</v>
      </c>
      <c r="L8" s="20">
        <v>3.1</v>
      </c>
      <c r="M8" s="20">
        <v>3.2</v>
      </c>
      <c r="N8" s="20">
        <v>3.3</v>
      </c>
      <c r="O8" s="20">
        <v>3.4</v>
      </c>
      <c r="P8" s="20">
        <v>3.5</v>
      </c>
      <c r="Q8" s="20">
        <v>4.0999999999999996</v>
      </c>
      <c r="R8" s="20">
        <v>4.2</v>
      </c>
      <c r="S8" s="20">
        <v>4.3</v>
      </c>
      <c r="T8" s="20">
        <v>4.4000000000000004</v>
      </c>
      <c r="U8" s="20">
        <v>4.5</v>
      </c>
      <c r="V8" s="20" t="s">
        <v>6</v>
      </c>
    </row>
    <row r="9" spans="1:22" ht="15.75">
      <c r="A9" s="12">
        <v>1</v>
      </c>
      <c r="B9" s="11">
        <v>5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1">
        <v>5</v>
      </c>
      <c r="K9" s="11">
        <v>5</v>
      </c>
      <c r="L9" s="11">
        <v>3</v>
      </c>
      <c r="M9" s="11">
        <v>3</v>
      </c>
      <c r="N9" s="11">
        <v>3</v>
      </c>
      <c r="O9" s="11">
        <v>5</v>
      </c>
      <c r="P9" s="11">
        <v>3</v>
      </c>
      <c r="Q9" s="11">
        <v>3</v>
      </c>
      <c r="R9" s="11">
        <v>4</v>
      </c>
      <c r="S9" s="11">
        <v>4</v>
      </c>
      <c r="T9" s="11">
        <v>4</v>
      </c>
      <c r="U9" s="11">
        <v>4</v>
      </c>
      <c r="V9" s="11">
        <f t="shared" ref="V9:V11" si="0">SUM(B9:U9)</f>
        <v>86</v>
      </c>
    </row>
    <row r="10" spans="1:22" ht="15.75">
      <c r="A10" s="12">
        <v>2</v>
      </c>
      <c r="B10" s="11">
        <v>5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1">
        <v>5</v>
      </c>
      <c r="K10" s="11">
        <v>5</v>
      </c>
      <c r="L10" s="11">
        <v>5</v>
      </c>
      <c r="M10" s="11">
        <v>5</v>
      </c>
      <c r="N10" s="11">
        <v>5</v>
      </c>
      <c r="O10" s="11">
        <v>5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f t="shared" si="0"/>
        <v>100</v>
      </c>
    </row>
    <row r="11" spans="1:22" ht="15.75">
      <c r="A11" s="12">
        <v>3</v>
      </c>
      <c r="B11" s="11">
        <v>5</v>
      </c>
      <c r="C11" s="11">
        <v>4</v>
      </c>
      <c r="D11" s="11">
        <v>4</v>
      </c>
      <c r="E11" s="11">
        <v>4</v>
      </c>
      <c r="F11" s="11">
        <v>4</v>
      </c>
      <c r="G11" s="11">
        <v>3</v>
      </c>
      <c r="H11" s="11">
        <v>3</v>
      </c>
      <c r="I11" s="11">
        <v>3</v>
      </c>
      <c r="J11" s="11">
        <v>4</v>
      </c>
      <c r="K11" s="11">
        <v>5</v>
      </c>
      <c r="L11" s="11">
        <v>5</v>
      </c>
      <c r="M11" s="11">
        <v>5</v>
      </c>
      <c r="N11" s="11">
        <v>5</v>
      </c>
      <c r="O11" s="11">
        <v>5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f t="shared" si="0"/>
        <v>89</v>
      </c>
    </row>
    <row r="12" spans="1:22" ht="15.75">
      <c r="A12" s="12">
        <v>4</v>
      </c>
      <c r="B12" s="11">
        <v>5</v>
      </c>
      <c r="C12" s="11">
        <v>5</v>
      </c>
      <c r="D12" s="11">
        <v>5</v>
      </c>
      <c r="E12" s="11">
        <v>3</v>
      </c>
      <c r="F12" s="11">
        <v>4</v>
      </c>
      <c r="G12" s="11">
        <v>4</v>
      </c>
      <c r="H12" s="11">
        <v>4</v>
      </c>
      <c r="I12" s="11">
        <v>4</v>
      </c>
      <c r="J12" s="11">
        <v>4</v>
      </c>
      <c r="K12" s="11">
        <v>4</v>
      </c>
      <c r="L12" s="11">
        <v>5</v>
      </c>
      <c r="M12" s="11">
        <v>5</v>
      </c>
      <c r="N12" s="11">
        <v>5</v>
      </c>
      <c r="O12" s="11">
        <v>5</v>
      </c>
      <c r="P12" s="11">
        <v>4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f>SUM(B15:U15)</f>
        <v>100</v>
      </c>
    </row>
    <row r="13" spans="1:22" ht="15.75">
      <c r="A13" s="12">
        <v>5</v>
      </c>
      <c r="B13" s="11">
        <v>5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3</v>
      </c>
      <c r="I13" s="11">
        <v>3</v>
      </c>
      <c r="J13" s="11">
        <v>3</v>
      </c>
      <c r="K13" s="11">
        <v>3</v>
      </c>
      <c r="L13" s="11">
        <v>3</v>
      </c>
      <c r="M13" s="11">
        <v>3</v>
      </c>
      <c r="N13" s="11">
        <v>3</v>
      </c>
      <c r="O13" s="11">
        <v>5</v>
      </c>
      <c r="P13" s="11">
        <v>5</v>
      </c>
      <c r="Q13" s="11">
        <v>3</v>
      </c>
      <c r="R13" s="11">
        <v>5</v>
      </c>
      <c r="S13" s="11">
        <v>5</v>
      </c>
      <c r="T13" s="11">
        <v>5</v>
      </c>
      <c r="U13" s="11">
        <v>5</v>
      </c>
      <c r="V13" s="11">
        <f>SUM(B15:U15)</f>
        <v>100</v>
      </c>
    </row>
    <row r="14" spans="1:22" ht="15.75">
      <c r="A14" s="12">
        <v>6</v>
      </c>
      <c r="B14" s="11">
        <v>5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1">
        <v>5</v>
      </c>
      <c r="K14" s="11">
        <v>5</v>
      </c>
      <c r="L14" s="11">
        <v>5</v>
      </c>
      <c r="M14" s="11">
        <v>5</v>
      </c>
      <c r="N14" s="11">
        <v>3</v>
      </c>
      <c r="O14" s="11">
        <v>3</v>
      </c>
      <c r="P14" s="11">
        <v>3</v>
      </c>
      <c r="Q14" s="11">
        <v>3</v>
      </c>
      <c r="R14" s="11">
        <v>5</v>
      </c>
      <c r="S14" s="11">
        <v>5</v>
      </c>
      <c r="T14" s="11">
        <v>5</v>
      </c>
      <c r="U14" s="11">
        <v>5</v>
      </c>
      <c r="V14" s="11">
        <f t="shared" ref="V14:V16" si="1">SUM(B14:U14)</f>
        <v>92</v>
      </c>
    </row>
    <row r="15" spans="1:22" ht="15.75">
      <c r="A15" s="12">
        <v>7</v>
      </c>
      <c r="B15" s="11">
        <v>5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1">
        <v>5</v>
      </c>
      <c r="K15" s="11">
        <v>5</v>
      </c>
      <c r="L15" s="11">
        <v>5</v>
      </c>
      <c r="M15" s="11">
        <v>5</v>
      </c>
      <c r="N15" s="11">
        <v>5</v>
      </c>
      <c r="O15" s="11">
        <v>5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f t="shared" si="1"/>
        <v>100</v>
      </c>
    </row>
    <row r="16" spans="1:22" ht="15.75">
      <c r="A16" s="12">
        <v>8</v>
      </c>
      <c r="B16" s="11">
        <v>5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1">
        <v>5</v>
      </c>
      <c r="K16" s="11">
        <v>5</v>
      </c>
      <c r="L16" s="11">
        <v>5</v>
      </c>
      <c r="M16" s="11">
        <v>5</v>
      </c>
      <c r="N16" s="11">
        <v>4</v>
      </c>
      <c r="O16" s="11">
        <v>4</v>
      </c>
      <c r="P16" s="11">
        <v>4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f t="shared" si="1"/>
        <v>96</v>
      </c>
    </row>
    <row r="17" spans="1:22" ht="15.75">
      <c r="A17" s="12">
        <v>9</v>
      </c>
      <c r="B17" s="11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1">
        <v>5</v>
      </c>
      <c r="K17" s="11">
        <v>5</v>
      </c>
      <c r="L17" s="11">
        <v>5</v>
      </c>
      <c r="M17" s="11">
        <v>5</v>
      </c>
      <c r="N17" s="11">
        <v>5</v>
      </c>
      <c r="O17" s="11">
        <v>3</v>
      </c>
      <c r="P17" s="11">
        <v>5</v>
      </c>
      <c r="Q17" s="11">
        <v>4</v>
      </c>
      <c r="R17" s="11">
        <v>4</v>
      </c>
      <c r="S17" s="11">
        <v>5</v>
      </c>
      <c r="T17" s="11">
        <v>5</v>
      </c>
      <c r="U17" s="11">
        <v>5</v>
      </c>
      <c r="V17" s="11">
        <v>100</v>
      </c>
    </row>
    <row r="18" spans="1:22" ht="15.75">
      <c r="A18" s="12">
        <v>10</v>
      </c>
      <c r="B18" s="11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1">
        <v>5</v>
      </c>
      <c r="K18" s="11">
        <v>5</v>
      </c>
      <c r="L18" s="11">
        <v>5</v>
      </c>
      <c r="M18" s="11">
        <v>5</v>
      </c>
      <c r="N18" s="11">
        <v>5</v>
      </c>
      <c r="O18" s="11">
        <v>5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f>SUM(B18:U18)</f>
        <v>100</v>
      </c>
    </row>
    <row r="19" spans="1:22" ht="15.75">
      <c r="A19" s="12">
        <v>11</v>
      </c>
      <c r="B19" s="11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1">
        <v>5</v>
      </c>
      <c r="K19" s="11">
        <v>5</v>
      </c>
      <c r="L19" s="11">
        <v>5</v>
      </c>
      <c r="M19" s="11">
        <v>5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f>SUM(B19:U19)</f>
        <v>100</v>
      </c>
    </row>
    <row r="20" spans="1:22" ht="15.75">
      <c r="A20" s="12">
        <v>12</v>
      </c>
      <c r="B20" s="11">
        <v>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1">
        <v>5</v>
      </c>
      <c r="K20" s="11">
        <v>5</v>
      </c>
      <c r="L20" s="11">
        <v>5</v>
      </c>
      <c r="M20" s="11">
        <v>5</v>
      </c>
      <c r="N20" s="11">
        <v>4</v>
      </c>
      <c r="O20" s="11">
        <v>4</v>
      </c>
      <c r="P20" s="11">
        <v>4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f t="shared" ref="V20:V29" si="2">SUM(B50:U50)</f>
        <v>99</v>
      </c>
    </row>
    <row r="21" spans="1:22" ht="15.75">
      <c r="A21" s="12">
        <v>13</v>
      </c>
      <c r="B21" s="11">
        <v>5</v>
      </c>
      <c r="C21" s="11">
        <v>5</v>
      </c>
      <c r="D21" s="11">
        <v>5</v>
      </c>
      <c r="E21" s="11">
        <v>4</v>
      </c>
      <c r="F21" s="11">
        <v>4</v>
      </c>
      <c r="G21" s="11">
        <v>4</v>
      </c>
      <c r="H21" s="11">
        <v>5</v>
      </c>
      <c r="I21" s="11">
        <v>4</v>
      </c>
      <c r="J21" s="11">
        <v>4</v>
      </c>
      <c r="K21" s="11">
        <v>4</v>
      </c>
      <c r="L21" s="11">
        <v>4</v>
      </c>
      <c r="M21" s="11">
        <v>4</v>
      </c>
      <c r="N21" s="11">
        <v>5</v>
      </c>
      <c r="O21" s="11">
        <v>4</v>
      </c>
      <c r="P21" s="11">
        <v>3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f t="shared" si="2"/>
        <v>92</v>
      </c>
    </row>
    <row r="22" spans="1:22" ht="15.75">
      <c r="A22" s="12">
        <v>14</v>
      </c>
      <c r="B22" s="11">
        <v>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1">
        <v>5</v>
      </c>
      <c r="K22" s="11">
        <v>5</v>
      </c>
      <c r="L22" s="11">
        <v>5</v>
      </c>
      <c r="M22" s="11">
        <v>5</v>
      </c>
      <c r="N22" s="11">
        <v>5</v>
      </c>
      <c r="O22" s="11">
        <v>5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f>SUM(B55:U55)</f>
        <v>90</v>
      </c>
    </row>
    <row r="23" spans="1:22" ht="15.75">
      <c r="A23" s="12">
        <v>15</v>
      </c>
      <c r="B23" s="11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1">
        <v>5</v>
      </c>
      <c r="K23" s="11">
        <v>5</v>
      </c>
      <c r="L23" s="11">
        <v>5</v>
      </c>
      <c r="M23" s="11">
        <v>5</v>
      </c>
      <c r="N23" s="11">
        <v>5</v>
      </c>
      <c r="O23" s="11">
        <v>5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f>SUM(B55:U55)</f>
        <v>90</v>
      </c>
    </row>
    <row r="24" spans="1:22" ht="15.75">
      <c r="A24" s="12">
        <v>16</v>
      </c>
      <c r="B24" s="11">
        <v>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1">
        <v>5</v>
      </c>
      <c r="K24" s="11">
        <v>5</v>
      </c>
      <c r="L24" s="11">
        <v>5</v>
      </c>
      <c r="M24" s="11">
        <v>5</v>
      </c>
      <c r="N24" s="11">
        <v>5</v>
      </c>
      <c r="O24" s="11">
        <v>5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f t="shared" si="2"/>
        <v>90</v>
      </c>
    </row>
    <row r="25" spans="1:22" ht="15.75">
      <c r="A25" s="12">
        <v>17</v>
      </c>
      <c r="B25" s="11">
        <v>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1">
        <v>5</v>
      </c>
      <c r="K25" s="11">
        <v>5</v>
      </c>
      <c r="L25" s="11">
        <v>5</v>
      </c>
      <c r="M25" s="11">
        <v>5</v>
      </c>
      <c r="N25" s="11">
        <v>5</v>
      </c>
      <c r="O25" s="11">
        <v>5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f t="shared" si="2"/>
        <v>90</v>
      </c>
    </row>
    <row r="26" spans="1:22" ht="15.75">
      <c r="A26" s="12">
        <v>18</v>
      </c>
      <c r="B26" s="11">
        <v>4</v>
      </c>
      <c r="C26" s="11">
        <v>4</v>
      </c>
      <c r="D26" s="11">
        <v>4</v>
      </c>
      <c r="E26" s="11">
        <v>4</v>
      </c>
      <c r="F26" s="11">
        <v>3</v>
      </c>
      <c r="G26" s="11">
        <v>3</v>
      </c>
      <c r="H26" s="11">
        <v>3</v>
      </c>
      <c r="I26" s="11">
        <v>3</v>
      </c>
      <c r="J26" s="11">
        <v>3</v>
      </c>
      <c r="K26" s="11">
        <v>3</v>
      </c>
      <c r="L26" s="11">
        <v>3</v>
      </c>
      <c r="M26" s="11">
        <v>5</v>
      </c>
      <c r="N26" s="11">
        <v>5</v>
      </c>
      <c r="O26" s="11">
        <v>5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f t="shared" si="2"/>
        <v>95</v>
      </c>
    </row>
    <row r="27" spans="1:22" ht="15.75">
      <c r="A27" s="12">
        <v>19</v>
      </c>
      <c r="B27" s="11">
        <v>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1">
        <v>5</v>
      </c>
      <c r="K27" s="11">
        <v>5</v>
      </c>
      <c r="L27" s="11">
        <v>5</v>
      </c>
      <c r="M27" s="11">
        <v>5</v>
      </c>
      <c r="N27" s="11">
        <v>5</v>
      </c>
      <c r="O27" s="11">
        <v>3</v>
      </c>
      <c r="P27" s="11">
        <v>3</v>
      </c>
      <c r="Q27" s="11">
        <v>3</v>
      </c>
      <c r="R27" s="11">
        <v>3</v>
      </c>
      <c r="S27" s="11">
        <v>3</v>
      </c>
      <c r="T27" s="11">
        <v>5</v>
      </c>
      <c r="U27" s="11">
        <v>5</v>
      </c>
      <c r="V27" s="11">
        <f t="shared" si="2"/>
        <v>78</v>
      </c>
    </row>
    <row r="28" spans="1:22" ht="15.75">
      <c r="A28" s="12">
        <v>20</v>
      </c>
      <c r="B28" s="11">
        <v>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1">
        <v>5</v>
      </c>
      <c r="K28" s="11">
        <v>5</v>
      </c>
      <c r="L28" s="11">
        <v>5</v>
      </c>
      <c r="M28" s="11">
        <v>5</v>
      </c>
      <c r="N28" s="11">
        <v>5</v>
      </c>
      <c r="O28" s="11">
        <v>3</v>
      </c>
      <c r="P28" s="11">
        <v>3</v>
      </c>
      <c r="Q28" s="11">
        <v>3</v>
      </c>
      <c r="R28" s="11">
        <v>3</v>
      </c>
      <c r="S28" s="11">
        <v>3</v>
      </c>
      <c r="T28" s="11">
        <v>5</v>
      </c>
      <c r="U28" s="11">
        <v>5</v>
      </c>
      <c r="V28" s="11">
        <f t="shared" si="2"/>
        <v>95</v>
      </c>
    </row>
    <row r="29" spans="1:22" ht="15.75">
      <c r="A29" s="12">
        <v>21</v>
      </c>
      <c r="B29" s="11">
        <v>5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1">
        <v>5</v>
      </c>
      <c r="K29" s="11">
        <v>5</v>
      </c>
      <c r="L29" s="11">
        <v>5</v>
      </c>
      <c r="M29" s="11">
        <v>5</v>
      </c>
      <c r="N29" s="11">
        <v>5</v>
      </c>
      <c r="O29" s="11">
        <v>3</v>
      </c>
      <c r="P29" s="11">
        <v>3</v>
      </c>
      <c r="Q29" s="11">
        <v>3</v>
      </c>
      <c r="R29" s="11">
        <v>3</v>
      </c>
      <c r="S29" s="11">
        <v>3</v>
      </c>
      <c r="T29" s="11">
        <v>5</v>
      </c>
      <c r="U29" s="11">
        <v>5</v>
      </c>
      <c r="V29" s="11">
        <f t="shared" si="2"/>
        <v>94</v>
      </c>
    </row>
    <row r="30" spans="1:22" ht="15.75">
      <c r="A30" s="12">
        <v>22</v>
      </c>
      <c r="B30" s="11">
        <v>5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1">
        <v>5</v>
      </c>
      <c r="K30" s="11">
        <v>5</v>
      </c>
      <c r="L30" s="11">
        <v>5</v>
      </c>
      <c r="M30" s="11">
        <v>5</v>
      </c>
      <c r="N30" s="11">
        <v>5</v>
      </c>
      <c r="O30" s="11">
        <v>3</v>
      </c>
      <c r="P30" s="11">
        <v>3</v>
      </c>
      <c r="Q30" s="11">
        <v>3</v>
      </c>
      <c r="R30" s="11">
        <v>3</v>
      </c>
      <c r="S30" s="11">
        <v>3</v>
      </c>
      <c r="T30" s="11">
        <v>5</v>
      </c>
      <c r="U30" s="11">
        <v>5</v>
      </c>
      <c r="V30" s="11">
        <f t="shared" ref="V30:V39" si="3">SUM(B50:U50)</f>
        <v>99</v>
      </c>
    </row>
    <row r="31" spans="1:22" ht="15.75">
      <c r="A31" s="12">
        <v>23</v>
      </c>
      <c r="B31" s="11">
        <v>5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1">
        <v>5</v>
      </c>
      <c r="K31" s="11">
        <v>5</v>
      </c>
      <c r="L31" s="11">
        <v>5</v>
      </c>
      <c r="M31" s="11">
        <v>5</v>
      </c>
      <c r="N31" s="11">
        <v>5</v>
      </c>
      <c r="O31" s="11">
        <v>3</v>
      </c>
      <c r="P31" s="11">
        <v>3</v>
      </c>
      <c r="Q31" s="11">
        <v>3</v>
      </c>
      <c r="R31" s="11">
        <v>3</v>
      </c>
      <c r="S31" s="11">
        <v>3</v>
      </c>
      <c r="T31" s="11">
        <v>5</v>
      </c>
      <c r="U31" s="11">
        <v>5</v>
      </c>
      <c r="V31" s="11">
        <f t="shared" si="3"/>
        <v>92</v>
      </c>
    </row>
    <row r="32" spans="1:22" ht="15.75">
      <c r="A32" s="12">
        <v>24</v>
      </c>
      <c r="B32" s="11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1">
        <v>5</v>
      </c>
      <c r="K32" s="11">
        <v>5</v>
      </c>
      <c r="L32" s="11">
        <v>5</v>
      </c>
      <c r="M32" s="11">
        <v>5</v>
      </c>
      <c r="N32" s="11">
        <v>5</v>
      </c>
      <c r="O32" s="11">
        <v>3</v>
      </c>
      <c r="P32" s="11">
        <v>3</v>
      </c>
      <c r="Q32" s="11">
        <v>3</v>
      </c>
      <c r="R32" s="11">
        <v>3</v>
      </c>
      <c r="S32" s="11">
        <v>3</v>
      </c>
      <c r="T32" s="11">
        <v>5</v>
      </c>
      <c r="U32" s="11">
        <v>5</v>
      </c>
      <c r="V32" s="11">
        <f>SUM(B55:U55)</f>
        <v>90</v>
      </c>
    </row>
    <row r="33" spans="1:22" ht="15.75">
      <c r="A33" s="12">
        <v>25</v>
      </c>
      <c r="B33" s="11">
        <v>5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1">
        <v>5</v>
      </c>
      <c r="K33" s="11">
        <v>5</v>
      </c>
      <c r="L33" s="11">
        <v>5</v>
      </c>
      <c r="M33" s="11">
        <v>5</v>
      </c>
      <c r="N33" s="11">
        <v>5</v>
      </c>
      <c r="O33" s="11">
        <v>5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f>SUM(B55:U55)</f>
        <v>90</v>
      </c>
    </row>
    <row r="34" spans="1:22" ht="15.75">
      <c r="A34" s="12">
        <v>26</v>
      </c>
      <c r="B34" s="11">
        <v>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1">
        <v>5</v>
      </c>
      <c r="K34" s="11">
        <v>5</v>
      </c>
      <c r="L34" s="11">
        <v>5</v>
      </c>
      <c r="M34" s="11">
        <v>5</v>
      </c>
      <c r="N34" s="11">
        <v>5</v>
      </c>
      <c r="O34" s="11">
        <v>5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f t="shared" si="3"/>
        <v>90</v>
      </c>
    </row>
    <row r="35" spans="1:22" ht="15.75">
      <c r="A35" s="12">
        <v>27</v>
      </c>
      <c r="B35" s="11">
        <v>5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4</v>
      </c>
      <c r="I35" s="11">
        <v>4</v>
      </c>
      <c r="J35" s="11">
        <v>4</v>
      </c>
      <c r="K35" s="11">
        <v>4</v>
      </c>
      <c r="L35" s="11">
        <v>4</v>
      </c>
      <c r="M35" s="11">
        <v>4</v>
      </c>
      <c r="N35" s="11">
        <v>4</v>
      </c>
      <c r="O35" s="11">
        <v>4</v>
      </c>
      <c r="P35" s="11">
        <v>4</v>
      </c>
      <c r="Q35" s="11">
        <v>4</v>
      </c>
      <c r="R35" s="11">
        <v>4</v>
      </c>
      <c r="S35" s="11">
        <v>5</v>
      </c>
      <c r="T35" s="11">
        <v>5</v>
      </c>
      <c r="U35" s="11">
        <v>5</v>
      </c>
      <c r="V35" s="11">
        <f t="shared" si="3"/>
        <v>90</v>
      </c>
    </row>
    <row r="36" spans="1:22" ht="15.75">
      <c r="A36" s="12">
        <v>28</v>
      </c>
      <c r="B36" s="11">
        <v>4</v>
      </c>
      <c r="C36" s="11">
        <v>4</v>
      </c>
      <c r="D36" s="11">
        <v>4</v>
      </c>
      <c r="E36" s="11">
        <v>4</v>
      </c>
      <c r="F36" s="11">
        <v>3</v>
      </c>
      <c r="G36" s="11">
        <v>3</v>
      </c>
      <c r="H36" s="11">
        <v>3</v>
      </c>
      <c r="I36" s="11">
        <v>3</v>
      </c>
      <c r="J36" s="11">
        <v>3</v>
      </c>
      <c r="K36" s="11">
        <v>3</v>
      </c>
      <c r="L36" s="11">
        <v>3</v>
      </c>
      <c r="M36" s="11">
        <v>4</v>
      </c>
      <c r="N36" s="11">
        <v>4</v>
      </c>
      <c r="O36" s="11">
        <v>5</v>
      </c>
      <c r="P36" s="11">
        <v>3</v>
      </c>
      <c r="Q36" s="11">
        <v>3</v>
      </c>
      <c r="R36" s="11">
        <v>3</v>
      </c>
      <c r="S36" s="11">
        <v>3</v>
      </c>
      <c r="T36" s="11">
        <v>5</v>
      </c>
      <c r="U36" s="11">
        <v>5</v>
      </c>
      <c r="V36" s="11">
        <f t="shared" si="3"/>
        <v>95</v>
      </c>
    </row>
    <row r="37" spans="1:22" ht="15.75">
      <c r="A37" s="12">
        <v>29</v>
      </c>
      <c r="B37" s="11">
        <v>5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4</v>
      </c>
      <c r="I37" s="11">
        <v>4</v>
      </c>
      <c r="J37" s="11">
        <v>4</v>
      </c>
      <c r="K37" s="11">
        <v>4</v>
      </c>
      <c r="L37" s="11">
        <v>4</v>
      </c>
      <c r="M37" s="11">
        <v>4</v>
      </c>
      <c r="N37" s="11">
        <v>4</v>
      </c>
      <c r="O37" s="11">
        <v>4</v>
      </c>
      <c r="P37" s="11">
        <v>4</v>
      </c>
      <c r="Q37" s="11">
        <v>4</v>
      </c>
      <c r="R37" s="11">
        <v>4</v>
      </c>
      <c r="S37" s="11">
        <v>5</v>
      </c>
      <c r="T37" s="11">
        <v>5</v>
      </c>
      <c r="U37" s="11">
        <v>5</v>
      </c>
      <c r="V37" s="11">
        <f t="shared" si="3"/>
        <v>78</v>
      </c>
    </row>
    <row r="38" spans="1:22" ht="15.75">
      <c r="A38" s="12">
        <v>30</v>
      </c>
      <c r="B38" s="11">
        <v>5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4</v>
      </c>
      <c r="I38" s="11">
        <v>4</v>
      </c>
      <c r="J38" s="11">
        <v>4</v>
      </c>
      <c r="K38" s="11">
        <v>4</v>
      </c>
      <c r="L38" s="11">
        <v>4</v>
      </c>
      <c r="M38" s="11">
        <v>4</v>
      </c>
      <c r="N38" s="11">
        <v>4</v>
      </c>
      <c r="O38" s="11">
        <v>5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f t="shared" si="3"/>
        <v>95</v>
      </c>
    </row>
    <row r="39" spans="1:22" ht="15.75">
      <c r="A39" s="12">
        <v>31</v>
      </c>
      <c r="B39" s="11">
        <v>5</v>
      </c>
      <c r="C39" s="11">
        <v>5</v>
      </c>
      <c r="D39" s="11">
        <v>3</v>
      </c>
      <c r="E39" s="11">
        <v>3</v>
      </c>
      <c r="F39" s="11">
        <v>3</v>
      </c>
      <c r="G39" s="11">
        <v>5</v>
      </c>
      <c r="H39" s="11">
        <v>4</v>
      </c>
      <c r="I39" s="11">
        <v>4</v>
      </c>
      <c r="J39" s="11">
        <v>4</v>
      </c>
      <c r="K39" s="11">
        <v>4</v>
      </c>
      <c r="L39" s="11">
        <v>4</v>
      </c>
      <c r="M39" s="11">
        <v>4</v>
      </c>
      <c r="N39" s="11">
        <v>4</v>
      </c>
      <c r="O39" s="11">
        <v>5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f t="shared" si="3"/>
        <v>94</v>
      </c>
    </row>
    <row r="40" spans="1:22" ht="15.75">
      <c r="A40" s="12">
        <v>32</v>
      </c>
      <c r="B40" s="11">
        <v>5</v>
      </c>
      <c r="C40" s="11">
        <v>5</v>
      </c>
      <c r="D40" s="11">
        <v>3</v>
      </c>
      <c r="E40" s="11">
        <v>3</v>
      </c>
      <c r="F40" s="11">
        <v>3</v>
      </c>
      <c r="G40" s="11">
        <v>5</v>
      </c>
      <c r="H40" s="11">
        <v>4</v>
      </c>
      <c r="I40" s="11">
        <v>4</v>
      </c>
      <c r="J40" s="11">
        <v>4</v>
      </c>
      <c r="K40" s="11">
        <v>4</v>
      </c>
      <c r="L40" s="11">
        <v>4</v>
      </c>
      <c r="M40" s="11">
        <v>4</v>
      </c>
      <c r="N40" s="11">
        <v>4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f t="shared" ref="V40:V51" si="4">SUM(B40:U40)</f>
        <v>87</v>
      </c>
    </row>
    <row r="41" spans="1:22" ht="15.75">
      <c r="A41" s="12">
        <v>33</v>
      </c>
      <c r="B41" s="11">
        <v>5</v>
      </c>
      <c r="C41" s="11">
        <v>5</v>
      </c>
      <c r="D41" s="11">
        <v>3</v>
      </c>
      <c r="E41" s="11">
        <v>3</v>
      </c>
      <c r="F41" s="11">
        <v>3</v>
      </c>
      <c r="G41" s="11">
        <v>5</v>
      </c>
      <c r="H41" s="11">
        <v>4</v>
      </c>
      <c r="I41" s="11">
        <v>4</v>
      </c>
      <c r="J41" s="11">
        <v>4</v>
      </c>
      <c r="K41" s="11">
        <v>4</v>
      </c>
      <c r="L41" s="11">
        <v>4</v>
      </c>
      <c r="M41" s="11">
        <v>4</v>
      </c>
      <c r="N41" s="11">
        <v>4</v>
      </c>
      <c r="O41" s="11">
        <v>5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f t="shared" si="4"/>
        <v>87</v>
      </c>
    </row>
    <row r="42" spans="1:22" ht="15.75">
      <c r="A42" s="12">
        <v>34</v>
      </c>
      <c r="B42" s="11">
        <v>5</v>
      </c>
      <c r="C42" s="11">
        <v>5</v>
      </c>
      <c r="D42" s="11">
        <v>3</v>
      </c>
      <c r="E42" s="11">
        <v>3</v>
      </c>
      <c r="F42" s="11">
        <v>3</v>
      </c>
      <c r="G42" s="11">
        <v>5</v>
      </c>
      <c r="H42" s="11">
        <v>4</v>
      </c>
      <c r="I42" s="11">
        <v>4</v>
      </c>
      <c r="J42" s="11">
        <v>4</v>
      </c>
      <c r="K42" s="11">
        <v>4</v>
      </c>
      <c r="L42" s="11">
        <v>4</v>
      </c>
      <c r="M42" s="11">
        <v>4</v>
      </c>
      <c r="N42" s="11">
        <v>4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f>SUM(B45:U45)</f>
        <v>99</v>
      </c>
    </row>
    <row r="43" spans="1:22" ht="15.75">
      <c r="A43" s="12">
        <v>35</v>
      </c>
      <c r="B43" s="11">
        <v>5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4</v>
      </c>
      <c r="I43" s="11">
        <v>4</v>
      </c>
      <c r="J43" s="11">
        <v>4</v>
      </c>
      <c r="K43" s="11">
        <v>4</v>
      </c>
      <c r="L43" s="11">
        <v>4</v>
      </c>
      <c r="M43" s="11">
        <v>4</v>
      </c>
      <c r="N43" s="11">
        <v>4</v>
      </c>
      <c r="O43" s="11">
        <v>5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f>SUM(B45:U45)</f>
        <v>99</v>
      </c>
    </row>
    <row r="44" spans="1:22" ht="15.75">
      <c r="A44" s="12">
        <v>36</v>
      </c>
      <c r="B44" s="11">
        <v>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1">
        <v>5</v>
      </c>
      <c r="K44" s="11">
        <v>5</v>
      </c>
      <c r="L44" s="11">
        <v>5</v>
      </c>
      <c r="M44" s="11">
        <v>5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f t="shared" si="4"/>
        <v>99</v>
      </c>
    </row>
    <row r="45" spans="1:22" ht="15.75">
      <c r="A45" s="12">
        <v>37</v>
      </c>
      <c r="B45" s="11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1">
        <v>5</v>
      </c>
      <c r="K45" s="11">
        <v>5</v>
      </c>
      <c r="L45" s="11">
        <v>5</v>
      </c>
      <c r="M45" s="11">
        <v>5</v>
      </c>
      <c r="N45" s="11">
        <v>4</v>
      </c>
      <c r="O45" s="11">
        <v>5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f t="shared" si="4"/>
        <v>99</v>
      </c>
    </row>
    <row r="46" spans="1:22" ht="15.75">
      <c r="A46" s="12">
        <v>38</v>
      </c>
      <c r="B46" s="11">
        <v>4</v>
      </c>
      <c r="C46" s="11">
        <v>4</v>
      </c>
      <c r="D46" s="11">
        <v>4</v>
      </c>
      <c r="E46" s="11">
        <v>4</v>
      </c>
      <c r="F46" s="11">
        <v>3</v>
      </c>
      <c r="G46" s="11">
        <v>3</v>
      </c>
      <c r="H46" s="11">
        <v>3</v>
      </c>
      <c r="I46" s="11">
        <v>3</v>
      </c>
      <c r="J46" s="11">
        <v>3</v>
      </c>
      <c r="K46" s="11">
        <v>3</v>
      </c>
      <c r="L46" s="11">
        <v>3</v>
      </c>
      <c r="M46" s="11">
        <v>4</v>
      </c>
      <c r="N46" s="11">
        <v>4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f t="shared" si="4"/>
        <v>79</v>
      </c>
    </row>
    <row r="47" spans="1:22" ht="15.75">
      <c r="A47" s="12">
        <v>39</v>
      </c>
      <c r="B47" s="11">
        <v>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1">
        <v>5</v>
      </c>
      <c r="K47" s="11">
        <v>5</v>
      </c>
      <c r="L47" s="11">
        <v>5</v>
      </c>
      <c r="M47" s="11">
        <v>5</v>
      </c>
      <c r="N47" s="11">
        <v>5</v>
      </c>
      <c r="O47" s="11">
        <v>5</v>
      </c>
      <c r="P47" s="11">
        <v>5</v>
      </c>
      <c r="Q47" s="11">
        <v>2</v>
      </c>
      <c r="R47" s="11">
        <v>5</v>
      </c>
      <c r="S47" s="11">
        <v>5</v>
      </c>
      <c r="T47" s="11">
        <v>5</v>
      </c>
      <c r="U47" s="11">
        <v>5</v>
      </c>
      <c r="V47" s="11">
        <f t="shared" si="4"/>
        <v>97</v>
      </c>
    </row>
    <row r="48" spans="1:22" ht="15.75">
      <c r="A48" s="12">
        <v>40</v>
      </c>
      <c r="B48" s="1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1">
        <v>5</v>
      </c>
      <c r="K48" s="11">
        <v>5</v>
      </c>
      <c r="L48" s="11">
        <v>5</v>
      </c>
      <c r="M48" s="11">
        <v>5</v>
      </c>
      <c r="N48" s="11">
        <v>5</v>
      </c>
      <c r="O48" s="11">
        <v>5</v>
      </c>
      <c r="P48" s="11">
        <v>5</v>
      </c>
      <c r="Q48" s="11">
        <v>5</v>
      </c>
      <c r="R48" s="11">
        <v>4</v>
      </c>
      <c r="S48" s="11">
        <v>5</v>
      </c>
      <c r="T48" s="11">
        <v>5</v>
      </c>
      <c r="U48" s="11">
        <v>5</v>
      </c>
      <c r="V48" s="11">
        <f t="shared" si="4"/>
        <v>99</v>
      </c>
    </row>
    <row r="49" spans="1:22" ht="15.75">
      <c r="A49" s="12">
        <v>41</v>
      </c>
      <c r="B49" s="11">
        <v>5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1">
        <v>5</v>
      </c>
      <c r="K49" s="11">
        <v>5</v>
      </c>
      <c r="L49" s="11">
        <v>5</v>
      </c>
      <c r="M49" s="11">
        <v>5</v>
      </c>
      <c r="N49" s="11">
        <v>5</v>
      </c>
      <c r="O49" s="11">
        <v>4</v>
      </c>
      <c r="P49" s="11">
        <v>4</v>
      </c>
      <c r="Q49" s="11">
        <v>4</v>
      </c>
      <c r="R49" s="11">
        <v>5</v>
      </c>
      <c r="S49" s="11">
        <v>5</v>
      </c>
      <c r="T49" s="11">
        <v>5</v>
      </c>
      <c r="U49" s="11">
        <v>5</v>
      </c>
      <c r="V49" s="11">
        <f t="shared" si="4"/>
        <v>97</v>
      </c>
    </row>
    <row r="50" spans="1:22" ht="15.75">
      <c r="A50" s="12">
        <v>42</v>
      </c>
      <c r="B50" s="11">
        <v>5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4</v>
      </c>
      <c r="J50" s="11">
        <v>5</v>
      </c>
      <c r="K50" s="11">
        <v>5</v>
      </c>
      <c r="L50" s="11">
        <v>5</v>
      </c>
      <c r="M50" s="11">
        <v>5</v>
      </c>
      <c r="N50" s="11">
        <v>5</v>
      </c>
      <c r="O50" s="11">
        <v>5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f t="shared" si="4"/>
        <v>99</v>
      </c>
    </row>
    <row r="51" spans="1:22" ht="15.75">
      <c r="A51" s="12">
        <v>43</v>
      </c>
      <c r="B51" s="11">
        <v>4</v>
      </c>
      <c r="C51" s="11">
        <v>4</v>
      </c>
      <c r="D51" s="11">
        <v>4</v>
      </c>
      <c r="E51" s="11">
        <v>4</v>
      </c>
      <c r="F51" s="11">
        <v>4</v>
      </c>
      <c r="G51" s="11">
        <v>5</v>
      </c>
      <c r="H51" s="11">
        <v>5</v>
      </c>
      <c r="I51" s="11">
        <v>5</v>
      </c>
      <c r="J51" s="11">
        <v>5</v>
      </c>
      <c r="K51" s="11">
        <v>4</v>
      </c>
      <c r="L51" s="11">
        <v>4</v>
      </c>
      <c r="M51" s="11">
        <v>4</v>
      </c>
      <c r="N51" s="11">
        <v>5</v>
      </c>
      <c r="O51" s="11">
        <v>5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f t="shared" si="4"/>
        <v>92</v>
      </c>
    </row>
    <row r="52" spans="1:22" ht="15.75">
      <c r="A52" s="12">
        <v>44</v>
      </c>
      <c r="B52" s="11">
        <v>4</v>
      </c>
      <c r="C52" s="11">
        <v>4</v>
      </c>
      <c r="D52" s="11">
        <v>4</v>
      </c>
      <c r="E52" s="11">
        <v>4</v>
      </c>
      <c r="F52" s="11">
        <v>4</v>
      </c>
      <c r="G52" s="11">
        <v>5</v>
      </c>
      <c r="H52" s="11">
        <v>5</v>
      </c>
      <c r="I52" s="11">
        <v>5</v>
      </c>
      <c r="J52" s="11">
        <v>5</v>
      </c>
      <c r="K52" s="11">
        <v>5</v>
      </c>
      <c r="L52" s="11">
        <v>5</v>
      </c>
      <c r="M52" s="11">
        <v>5</v>
      </c>
      <c r="N52" s="11">
        <v>5</v>
      </c>
      <c r="O52" s="11">
        <v>5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f>SUM(B55:U55)</f>
        <v>90</v>
      </c>
    </row>
    <row r="53" spans="1:22" ht="15.75">
      <c r="A53" s="12">
        <v>45</v>
      </c>
      <c r="B53" s="11">
        <v>4</v>
      </c>
      <c r="C53" s="11">
        <v>4</v>
      </c>
      <c r="D53" s="11">
        <v>4</v>
      </c>
      <c r="E53" s="11">
        <v>4</v>
      </c>
      <c r="F53" s="11">
        <v>4</v>
      </c>
      <c r="G53" s="11">
        <v>5</v>
      </c>
      <c r="H53" s="11">
        <v>5</v>
      </c>
      <c r="I53" s="11">
        <v>5</v>
      </c>
      <c r="J53" s="11">
        <v>5</v>
      </c>
      <c r="K53" s="11">
        <v>4</v>
      </c>
      <c r="L53" s="11">
        <v>5</v>
      </c>
      <c r="M53" s="11">
        <v>5</v>
      </c>
      <c r="N53" s="11">
        <v>5</v>
      </c>
      <c r="O53" s="11">
        <v>5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f>SUM(B55:U55)</f>
        <v>90</v>
      </c>
    </row>
    <row r="54" spans="1:22" ht="15.75">
      <c r="A54" s="12">
        <v>46</v>
      </c>
      <c r="B54" s="11">
        <v>4</v>
      </c>
      <c r="C54" s="11">
        <v>4</v>
      </c>
      <c r="D54" s="11">
        <v>4</v>
      </c>
      <c r="E54" s="11">
        <v>4</v>
      </c>
      <c r="F54" s="11">
        <v>4</v>
      </c>
      <c r="G54" s="11">
        <v>5</v>
      </c>
      <c r="H54" s="11">
        <v>5</v>
      </c>
      <c r="I54" s="11">
        <v>5</v>
      </c>
      <c r="J54" s="11">
        <v>5</v>
      </c>
      <c r="K54" s="11">
        <v>5</v>
      </c>
      <c r="L54" s="11">
        <v>4</v>
      </c>
      <c r="M54" s="11">
        <v>4</v>
      </c>
      <c r="N54" s="11">
        <v>4</v>
      </c>
      <c r="O54" s="11">
        <v>4</v>
      </c>
      <c r="P54" s="11">
        <v>4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f t="shared" ref="V54:V61" si="5">SUM(B54:U54)</f>
        <v>90</v>
      </c>
    </row>
    <row r="55" spans="1:22" ht="15.75">
      <c r="A55" s="12">
        <v>47</v>
      </c>
      <c r="B55" s="11">
        <v>4</v>
      </c>
      <c r="C55" s="11">
        <v>4</v>
      </c>
      <c r="D55" s="11">
        <v>4</v>
      </c>
      <c r="E55" s="11">
        <v>4</v>
      </c>
      <c r="F55" s="11">
        <v>4</v>
      </c>
      <c r="G55" s="11">
        <v>5</v>
      </c>
      <c r="H55" s="11">
        <v>5</v>
      </c>
      <c r="I55" s="11">
        <v>5</v>
      </c>
      <c r="J55" s="11">
        <v>5</v>
      </c>
      <c r="K55" s="11">
        <v>5</v>
      </c>
      <c r="L55" s="11">
        <v>4</v>
      </c>
      <c r="M55" s="11">
        <v>4</v>
      </c>
      <c r="N55" s="11">
        <v>4</v>
      </c>
      <c r="O55" s="11">
        <v>4</v>
      </c>
      <c r="P55" s="11">
        <v>4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f t="shared" si="5"/>
        <v>90</v>
      </c>
    </row>
    <row r="56" spans="1:22" ht="15.75">
      <c r="A56" s="12">
        <v>48</v>
      </c>
      <c r="B56" s="11">
        <v>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1">
        <v>5</v>
      </c>
      <c r="K56" s="11">
        <v>5</v>
      </c>
      <c r="L56" s="11">
        <v>4</v>
      </c>
      <c r="M56" s="11">
        <v>4</v>
      </c>
      <c r="N56" s="11">
        <v>4</v>
      </c>
      <c r="O56" s="11">
        <v>4</v>
      </c>
      <c r="P56" s="11">
        <v>4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f t="shared" si="5"/>
        <v>95</v>
      </c>
    </row>
    <row r="57" spans="1:22" ht="15.75">
      <c r="A57" s="12">
        <v>49</v>
      </c>
      <c r="B57" s="11">
        <v>4</v>
      </c>
      <c r="C57" s="11">
        <v>4</v>
      </c>
      <c r="D57" s="11">
        <v>4</v>
      </c>
      <c r="E57" s="11">
        <v>4</v>
      </c>
      <c r="F57" s="11">
        <v>3</v>
      </c>
      <c r="G57" s="11">
        <v>3</v>
      </c>
      <c r="H57" s="11">
        <v>3</v>
      </c>
      <c r="I57" s="11">
        <v>3</v>
      </c>
      <c r="J57" s="11">
        <v>3</v>
      </c>
      <c r="K57" s="11">
        <v>3</v>
      </c>
      <c r="L57" s="11">
        <v>3</v>
      </c>
      <c r="M57" s="11">
        <v>4</v>
      </c>
      <c r="N57" s="11">
        <v>4</v>
      </c>
      <c r="O57" s="11">
        <v>4</v>
      </c>
      <c r="P57" s="11">
        <v>4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f t="shared" si="5"/>
        <v>78</v>
      </c>
    </row>
    <row r="58" spans="1:22" ht="15.75">
      <c r="A58" s="12">
        <v>50</v>
      </c>
      <c r="B58" s="11">
        <v>5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1">
        <v>5</v>
      </c>
      <c r="K58" s="11">
        <v>5</v>
      </c>
      <c r="L58" s="11">
        <v>4</v>
      </c>
      <c r="M58" s="11">
        <v>4</v>
      </c>
      <c r="N58" s="11">
        <v>4</v>
      </c>
      <c r="O58" s="11">
        <v>4</v>
      </c>
      <c r="P58" s="11">
        <v>4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f t="shared" si="5"/>
        <v>95</v>
      </c>
    </row>
    <row r="59" spans="1:22" ht="15.75">
      <c r="A59" s="12">
        <v>51</v>
      </c>
      <c r="B59" s="11">
        <v>5</v>
      </c>
      <c r="C59" s="11">
        <v>5</v>
      </c>
      <c r="D59" s="11">
        <v>4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1">
        <v>5</v>
      </c>
      <c r="K59" s="11">
        <v>5</v>
      </c>
      <c r="L59" s="11">
        <v>4</v>
      </c>
      <c r="M59" s="11">
        <v>4</v>
      </c>
      <c r="N59" s="11">
        <v>4</v>
      </c>
      <c r="O59" s="11">
        <v>4</v>
      </c>
      <c r="P59" s="11">
        <v>4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f t="shared" si="5"/>
        <v>94</v>
      </c>
    </row>
    <row r="60" spans="1:22" ht="15.75">
      <c r="A60" s="12">
        <v>52</v>
      </c>
      <c r="B60" s="11">
        <v>5</v>
      </c>
      <c r="C60" s="11">
        <v>5</v>
      </c>
      <c r="D60" s="11">
        <v>5</v>
      </c>
      <c r="E60" s="11">
        <v>5</v>
      </c>
      <c r="F60" s="11">
        <v>5</v>
      </c>
      <c r="G60" s="11">
        <v>4</v>
      </c>
      <c r="H60" s="11">
        <v>5</v>
      </c>
      <c r="I60" s="11">
        <v>5</v>
      </c>
      <c r="J60" s="11">
        <v>5</v>
      </c>
      <c r="K60" s="11">
        <v>5</v>
      </c>
      <c r="L60" s="11">
        <v>5</v>
      </c>
      <c r="M60" s="11">
        <v>5</v>
      </c>
      <c r="N60" s="11">
        <v>5</v>
      </c>
      <c r="O60" s="11">
        <v>5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f t="shared" si="5"/>
        <v>99</v>
      </c>
    </row>
    <row r="61" spans="1:22" ht="15.75">
      <c r="A61" s="12">
        <v>53</v>
      </c>
      <c r="B61" s="11">
        <v>4</v>
      </c>
      <c r="C61" s="11">
        <v>4</v>
      </c>
      <c r="D61" s="11">
        <v>4</v>
      </c>
      <c r="E61" s="11">
        <v>4</v>
      </c>
      <c r="F61" s="11">
        <v>3</v>
      </c>
      <c r="G61" s="11">
        <v>3</v>
      </c>
      <c r="H61" s="11">
        <v>3</v>
      </c>
      <c r="I61" s="11">
        <v>3</v>
      </c>
      <c r="J61" s="11">
        <v>3</v>
      </c>
      <c r="K61" s="11">
        <v>3</v>
      </c>
      <c r="L61" s="11">
        <v>3</v>
      </c>
      <c r="M61" s="11">
        <v>5</v>
      </c>
      <c r="N61" s="11">
        <v>3</v>
      </c>
      <c r="O61" s="11">
        <v>3</v>
      </c>
      <c r="P61" s="11">
        <v>3</v>
      </c>
      <c r="Q61" s="11">
        <v>3</v>
      </c>
      <c r="R61" s="11">
        <v>5</v>
      </c>
      <c r="S61" s="11">
        <v>5</v>
      </c>
      <c r="T61" s="11">
        <v>5</v>
      </c>
      <c r="U61" s="11">
        <v>5</v>
      </c>
      <c r="V61" s="11">
        <f t="shared" si="5"/>
        <v>74</v>
      </c>
    </row>
    <row r="62" spans="1:22" ht="15.75">
      <c r="A62" s="12">
        <v>54</v>
      </c>
      <c r="B62" s="11">
        <v>5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1">
        <v>4</v>
      </c>
      <c r="K62" s="11">
        <v>4</v>
      </c>
      <c r="L62" s="11">
        <v>4</v>
      </c>
      <c r="M62" s="11">
        <v>4</v>
      </c>
      <c r="N62" s="11">
        <v>4</v>
      </c>
      <c r="O62" s="11">
        <v>5</v>
      </c>
      <c r="P62" s="11">
        <v>5</v>
      </c>
      <c r="Q62" s="11">
        <v>4</v>
      </c>
      <c r="R62" s="11">
        <v>5</v>
      </c>
      <c r="S62" s="11">
        <v>5</v>
      </c>
      <c r="T62" s="11">
        <v>5</v>
      </c>
      <c r="U62" s="11">
        <v>5</v>
      </c>
      <c r="V62" s="11">
        <f>SUM(B65:U65)</f>
        <v>99</v>
      </c>
    </row>
    <row r="63" spans="1:22" ht="15.75">
      <c r="A63" s="12">
        <v>55</v>
      </c>
      <c r="B63" s="11">
        <v>5</v>
      </c>
      <c r="C63" s="11">
        <v>4</v>
      </c>
      <c r="D63" s="11">
        <v>5</v>
      </c>
      <c r="E63" s="11">
        <v>5</v>
      </c>
      <c r="F63" s="11" t="s">
        <v>38</v>
      </c>
      <c r="G63" s="11">
        <v>5</v>
      </c>
      <c r="H63" s="11">
        <v>5</v>
      </c>
      <c r="I63" s="11">
        <v>5</v>
      </c>
      <c r="J63" s="11">
        <v>4</v>
      </c>
      <c r="K63" s="11">
        <v>4</v>
      </c>
      <c r="L63" s="11">
        <v>4</v>
      </c>
      <c r="M63" s="11">
        <v>4</v>
      </c>
      <c r="N63" s="11">
        <v>4</v>
      </c>
      <c r="O63" s="11">
        <v>5</v>
      </c>
      <c r="P63" s="11">
        <v>5</v>
      </c>
      <c r="Q63" s="11">
        <v>3</v>
      </c>
      <c r="R63" s="11">
        <v>3</v>
      </c>
      <c r="S63" s="11">
        <v>3</v>
      </c>
      <c r="T63" s="11">
        <v>3</v>
      </c>
      <c r="U63" s="11">
        <v>3</v>
      </c>
      <c r="V63" s="11">
        <f>SUM(B65:U65)</f>
        <v>99</v>
      </c>
    </row>
    <row r="64" spans="1:22" ht="15.75">
      <c r="A64" s="12">
        <v>56</v>
      </c>
      <c r="B64" s="11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1">
        <v>4</v>
      </c>
      <c r="K64" s="11">
        <v>4</v>
      </c>
      <c r="L64" s="11">
        <v>4</v>
      </c>
      <c r="M64" s="11">
        <v>4</v>
      </c>
      <c r="N64" s="11">
        <v>4</v>
      </c>
      <c r="O64" s="11">
        <v>5</v>
      </c>
      <c r="P64" s="11">
        <v>5</v>
      </c>
      <c r="Q64" s="11">
        <v>3</v>
      </c>
      <c r="R64" s="11">
        <v>3</v>
      </c>
      <c r="S64" s="11">
        <v>3</v>
      </c>
      <c r="T64" s="11">
        <v>3</v>
      </c>
      <c r="U64" s="11">
        <v>3</v>
      </c>
      <c r="V64" s="11">
        <f t="shared" ref="V64:V67" si="6">SUM(B64:U64)</f>
        <v>85</v>
      </c>
    </row>
    <row r="65" spans="1:22" ht="15.75">
      <c r="A65" s="12">
        <v>57</v>
      </c>
      <c r="B65" s="11">
        <v>5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1">
        <v>5</v>
      </c>
      <c r="K65" s="11">
        <v>5</v>
      </c>
      <c r="L65" s="11">
        <v>5</v>
      </c>
      <c r="M65" s="11">
        <v>5</v>
      </c>
      <c r="N65" s="11">
        <v>5</v>
      </c>
      <c r="O65" s="11">
        <v>5</v>
      </c>
      <c r="P65" s="11">
        <v>5</v>
      </c>
      <c r="Q65" s="11">
        <v>4</v>
      </c>
      <c r="R65" s="11">
        <v>5</v>
      </c>
      <c r="S65" s="11">
        <v>5</v>
      </c>
      <c r="T65" s="11">
        <v>5</v>
      </c>
      <c r="U65" s="11">
        <v>5</v>
      </c>
      <c r="V65" s="11">
        <f t="shared" si="6"/>
        <v>99</v>
      </c>
    </row>
    <row r="66" spans="1:22" ht="15.75">
      <c r="A66" s="12">
        <v>58</v>
      </c>
      <c r="B66" s="11">
        <v>5</v>
      </c>
      <c r="C66" s="11">
        <v>5</v>
      </c>
      <c r="D66" s="11">
        <v>5</v>
      </c>
      <c r="E66" s="11">
        <v>5</v>
      </c>
      <c r="F66" s="11">
        <v>5</v>
      </c>
      <c r="G66" s="11">
        <v>4</v>
      </c>
      <c r="H66" s="11">
        <v>4</v>
      </c>
      <c r="I66" s="11">
        <v>4</v>
      </c>
      <c r="J66" s="11">
        <v>4</v>
      </c>
      <c r="K66" s="11">
        <v>4</v>
      </c>
      <c r="L66" s="11">
        <v>3</v>
      </c>
      <c r="M66" s="11">
        <v>3</v>
      </c>
      <c r="N66" s="11">
        <v>3</v>
      </c>
      <c r="O66" s="11">
        <v>3</v>
      </c>
      <c r="P66" s="11">
        <v>4</v>
      </c>
      <c r="Q66" s="11">
        <v>4</v>
      </c>
      <c r="R66" s="11">
        <v>5</v>
      </c>
      <c r="S66" s="11">
        <v>5</v>
      </c>
      <c r="T66" s="11">
        <v>5</v>
      </c>
      <c r="U66" s="11">
        <v>5</v>
      </c>
      <c r="V66" s="11">
        <f t="shared" si="6"/>
        <v>85</v>
      </c>
    </row>
    <row r="67" spans="1:22" ht="15.75">
      <c r="A67" s="13"/>
      <c r="B67" s="11">
        <f t="shared" ref="B67:U67" si="7">SUM(B9:B66)</f>
        <v>280</v>
      </c>
      <c r="C67" s="11">
        <f t="shared" si="7"/>
        <v>278</v>
      </c>
      <c r="D67" s="11">
        <f t="shared" si="7"/>
        <v>270</v>
      </c>
      <c r="E67" s="11">
        <f t="shared" si="7"/>
        <v>268</v>
      </c>
      <c r="F67" s="11">
        <f t="shared" si="7"/>
        <v>259</v>
      </c>
      <c r="G67" s="11">
        <f t="shared" si="7"/>
        <v>274</v>
      </c>
      <c r="H67" s="11">
        <f t="shared" si="7"/>
        <v>266</v>
      </c>
      <c r="I67" s="11">
        <f t="shared" si="7"/>
        <v>264</v>
      </c>
      <c r="J67" s="11">
        <f t="shared" si="7"/>
        <v>263</v>
      </c>
      <c r="K67" s="11">
        <f t="shared" si="7"/>
        <v>262</v>
      </c>
      <c r="L67" s="11">
        <f t="shared" si="7"/>
        <v>256</v>
      </c>
      <c r="M67" s="11">
        <f t="shared" si="7"/>
        <v>263</v>
      </c>
      <c r="N67" s="11">
        <f t="shared" si="7"/>
        <v>258</v>
      </c>
      <c r="O67" s="11">
        <f t="shared" si="7"/>
        <v>256</v>
      </c>
      <c r="P67" s="11">
        <f t="shared" si="7"/>
        <v>255</v>
      </c>
      <c r="Q67" s="11">
        <f t="shared" si="7"/>
        <v>253</v>
      </c>
      <c r="R67" s="11">
        <f t="shared" si="7"/>
        <v>267</v>
      </c>
      <c r="S67" s="11">
        <f t="shared" si="7"/>
        <v>271</v>
      </c>
      <c r="T67" s="11">
        <f t="shared" si="7"/>
        <v>285</v>
      </c>
      <c r="U67" s="11">
        <f t="shared" si="7"/>
        <v>285</v>
      </c>
      <c r="V67" s="12">
        <f t="shared" si="6"/>
        <v>5333</v>
      </c>
    </row>
    <row r="68" spans="1:22" ht="15.75">
      <c r="A68" s="13"/>
      <c r="B68" s="11">
        <f t="shared" ref="B68:U68" si="8">B67/58</f>
        <v>4.8275862068965498</v>
      </c>
      <c r="C68" s="11">
        <f t="shared" si="8"/>
        <v>4.7931034482758603</v>
      </c>
      <c r="D68" s="11">
        <f t="shared" si="8"/>
        <v>4.6551724137930997</v>
      </c>
      <c r="E68" s="15">
        <f t="shared" si="8"/>
        <v>4.6206896551724101</v>
      </c>
      <c r="F68" s="15">
        <f t="shared" si="8"/>
        <v>4.4655172413793096</v>
      </c>
      <c r="G68" s="15">
        <f t="shared" si="8"/>
        <v>4.7241379310344804</v>
      </c>
      <c r="H68" s="15">
        <f t="shared" si="8"/>
        <v>4.5862068965517198</v>
      </c>
      <c r="I68" s="15">
        <f t="shared" si="8"/>
        <v>4.5517241379310303</v>
      </c>
      <c r="J68" s="15">
        <f t="shared" si="8"/>
        <v>4.5344827586206904</v>
      </c>
      <c r="K68" s="15">
        <f t="shared" si="8"/>
        <v>4.5172413793103496</v>
      </c>
      <c r="L68" s="15">
        <f t="shared" si="8"/>
        <v>4.4137931034482802</v>
      </c>
      <c r="M68" s="15">
        <f t="shared" si="8"/>
        <v>4.5344827586206904</v>
      </c>
      <c r="N68" s="15">
        <f t="shared" si="8"/>
        <v>4.4482758620689697</v>
      </c>
      <c r="O68" s="15">
        <f t="shared" si="8"/>
        <v>4.4137931034482802</v>
      </c>
      <c r="P68" s="15">
        <f t="shared" si="8"/>
        <v>4.3965517241379297</v>
      </c>
      <c r="Q68" s="15">
        <f t="shared" si="8"/>
        <v>4.3620689655172402</v>
      </c>
      <c r="R68" s="15">
        <f t="shared" si="8"/>
        <v>4.6034482758620703</v>
      </c>
      <c r="S68" s="15">
        <f t="shared" si="8"/>
        <v>4.6724137931034502</v>
      </c>
      <c r="T68" s="15">
        <f t="shared" si="8"/>
        <v>4.9137931034482802</v>
      </c>
      <c r="U68" s="11">
        <f t="shared" si="8"/>
        <v>4.9137931034482802</v>
      </c>
      <c r="V68" s="32">
        <f>AVERAGE(B68:U68)</f>
        <v>4.59741379310345</v>
      </c>
    </row>
    <row r="69" spans="1:22" ht="15.75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9"/>
      <c r="U69" s="19"/>
      <c r="V69" s="27"/>
    </row>
    <row r="70" spans="1:22">
      <c r="A70" s="99" t="s">
        <v>8</v>
      </c>
      <c r="B70" s="20">
        <v>1.1000000000000001</v>
      </c>
      <c r="C70" s="20">
        <v>1.2</v>
      </c>
      <c r="D70" s="20">
        <v>1.3</v>
      </c>
      <c r="E70" s="20">
        <v>1.4</v>
      </c>
      <c r="F70" s="20">
        <v>1.5</v>
      </c>
      <c r="G70" s="20">
        <v>2.1</v>
      </c>
      <c r="H70" s="20">
        <v>2.2000000000000002</v>
      </c>
      <c r="I70" s="20">
        <v>2.2999999999999998</v>
      </c>
      <c r="J70" s="20">
        <v>2.4</v>
      </c>
      <c r="K70" s="20">
        <v>2.5</v>
      </c>
      <c r="L70" s="20">
        <v>3.1</v>
      </c>
      <c r="M70" s="20">
        <v>3.2</v>
      </c>
      <c r="N70" s="20">
        <v>3.3</v>
      </c>
      <c r="O70" s="20">
        <v>3.4</v>
      </c>
      <c r="P70" s="20">
        <v>3.5</v>
      </c>
      <c r="Q70" s="20">
        <v>4.0999999999999996</v>
      </c>
      <c r="R70" s="20">
        <v>4.2</v>
      </c>
      <c r="S70" s="20">
        <v>4.3</v>
      </c>
      <c r="T70" s="20">
        <v>4.4000000000000004</v>
      </c>
      <c r="U70" s="20">
        <v>4.5</v>
      </c>
      <c r="V70" s="102" t="s">
        <v>7</v>
      </c>
    </row>
    <row r="71" spans="1:22">
      <c r="A71" s="100"/>
      <c r="B71" s="89" t="s">
        <v>9</v>
      </c>
      <c r="C71" s="89"/>
      <c r="D71" s="89"/>
      <c r="E71" s="89"/>
      <c r="F71" s="89"/>
      <c r="G71" s="90" t="s">
        <v>10</v>
      </c>
      <c r="H71" s="90"/>
      <c r="I71" s="90"/>
      <c r="J71" s="90"/>
      <c r="K71" s="90"/>
      <c r="L71" s="90" t="s">
        <v>11</v>
      </c>
      <c r="M71" s="90"/>
      <c r="N71" s="90"/>
      <c r="O71" s="90"/>
      <c r="P71" s="90"/>
      <c r="Q71" s="90" t="s">
        <v>12</v>
      </c>
      <c r="R71" s="90"/>
      <c r="S71" s="90"/>
      <c r="T71" s="90"/>
      <c r="U71" s="90"/>
      <c r="V71" s="103"/>
    </row>
    <row r="72" spans="1:22" ht="15.75">
      <c r="A72" s="101"/>
      <c r="B72" s="33">
        <v>4.8275862068965498</v>
      </c>
      <c r="C72" s="33">
        <v>4.7931034482758603</v>
      </c>
      <c r="D72" s="33">
        <v>4.6551724137930997</v>
      </c>
      <c r="E72" s="33">
        <v>4.6206896551724101</v>
      </c>
      <c r="F72" s="33">
        <v>4.4655172413793096</v>
      </c>
      <c r="G72" s="33">
        <v>4.7241379310344804</v>
      </c>
      <c r="H72" s="33">
        <v>4.5862068965517198</v>
      </c>
      <c r="I72" s="33">
        <v>4.5517241379310303</v>
      </c>
      <c r="J72" s="33">
        <v>4.5344827586206904</v>
      </c>
      <c r="K72" s="33">
        <v>4.5172413793103496</v>
      </c>
      <c r="L72" s="33">
        <v>4.4137931034482802</v>
      </c>
      <c r="M72" s="33">
        <v>4.5344827586206904</v>
      </c>
      <c r="N72" s="33">
        <v>4.4482758620689697</v>
      </c>
      <c r="O72" s="33">
        <v>4.4137931034482802</v>
      </c>
      <c r="P72" s="33">
        <v>4.3965517241379297</v>
      </c>
      <c r="Q72" s="33">
        <v>4.3620689655172402</v>
      </c>
      <c r="R72" s="33">
        <v>4.6034482758620703</v>
      </c>
      <c r="S72" s="33">
        <v>4.6724137931034502</v>
      </c>
      <c r="T72" s="33">
        <v>4.9137931034482802</v>
      </c>
      <c r="U72" s="33">
        <v>4.9137931034482802</v>
      </c>
      <c r="V72" s="22">
        <v>4.5999999999999996</v>
      </c>
    </row>
    <row r="73" spans="1:22">
      <c r="A73" s="92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2"/>
    </row>
    <row r="74" spans="1:22" ht="23.25">
      <c r="A74" s="23" t="s">
        <v>13</v>
      </c>
      <c r="B74" s="24">
        <v>1.1000000000000001</v>
      </c>
      <c r="C74" s="24">
        <v>1.2</v>
      </c>
      <c r="D74" s="24">
        <v>1.3</v>
      </c>
      <c r="E74" s="24">
        <v>1.4</v>
      </c>
      <c r="F74" s="24">
        <v>1.5</v>
      </c>
      <c r="G74" s="24">
        <v>2.1</v>
      </c>
      <c r="H74" s="24">
        <v>2.2000000000000002</v>
      </c>
      <c r="I74" s="24">
        <v>2.2999999999999998</v>
      </c>
      <c r="J74" s="24">
        <v>2.4</v>
      </c>
      <c r="K74" s="24">
        <v>2.5</v>
      </c>
      <c r="L74" s="24">
        <v>3.1</v>
      </c>
      <c r="M74" s="24">
        <v>3.2</v>
      </c>
      <c r="N74" s="24">
        <v>3.3</v>
      </c>
      <c r="O74" s="24">
        <v>3.4</v>
      </c>
      <c r="P74" s="24">
        <v>3.5</v>
      </c>
      <c r="Q74" s="24">
        <v>4.0999999999999996</v>
      </c>
      <c r="R74" s="24">
        <v>4.2</v>
      </c>
      <c r="S74" s="24">
        <v>4.3</v>
      </c>
      <c r="T74" s="24">
        <v>4.4000000000000004</v>
      </c>
      <c r="U74" s="24">
        <v>4.5</v>
      </c>
      <c r="V74" s="24" t="s">
        <v>6</v>
      </c>
    </row>
    <row r="75" spans="1:22">
      <c r="A75" s="20">
        <v>5</v>
      </c>
      <c r="B75" s="25">
        <f>COUNTIF(B9:B66,5)</f>
        <v>48</v>
      </c>
      <c r="C75" s="25">
        <f t="shared" ref="C75:U75" si="9">COUNTIF(C9:C66,5)</f>
        <v>46</v>
      </c>
      <c r="D75" s="25">
        <f t="shared" si="9"/>
        <v>42</v>
      </c>
      <c r="E75" s="25">
        <f t="shared" si="9"/>
        <v>41</v>
      </c>
      <c r="F75" s="25">
        <f t="shared" si="9"/>
        <v>40</v>
      </c>
      <c r="G75" s="25">
        <f t="shared" si="9"/>
        <v>48</v>
      </c>
      <c r="H75" s="25">
        <f t="shared" si="9"/>
        <v>41</v>
      </c>
      <c r="I75" s="25">
        <f t="shared" si="9"/>
        <v>39</v>
      </c>
      <c r="J75" s="25">
        <f t="shared" si="9"/>
        <v>37</v>
      </c>
      <c r="K75" s="25">
        <f t="shared" si="9"/>
        <v>36</v>
      </c>
      <c r="L75" s="25">
        <f t="shared" si="9"/>
        <v>32</v>
      </c>
      <c r="M75" s="25">
        <f t="shared" si="9"/>
        <v>34</v>
      </c>
      <c r="N75" s="25">
        <f t="shared" si="9"/>
        <v>31</v>
      </c>
      <c r="O75" s="25">
        <f t="shared" si="9"/>
        <v>34</v>
      </c>
      <c r="P75" s="25">
        <f t="shared" si="9"/>
        <v>34</v>
      </c>
      <c r="Q75" s="25">
        <f t="shared" si="9"/>
        <v>36</v>
      </c>
      <c r="R75" s="25">
        <f t="shared" si="9"/>
        <v>44</v>
      </c>
      <c r="S75" s="25">
        <f t="shared" si="9"/>
        <v>48</v>
      </c>
      <c r="T75" s="25">
        <f t="shared" si="9"/>
        <v>55</v>
      </c>
      <c r="U75" s="25">
        <f t="shared" si="9"/>
        <v>55</v>
      </c>
      <c r="V75" s="25">
        <f t="shared" ref="V75:V79" si="10">SUM(B75:U75)</f>
        <v>821</v>
      </c>
    </row>
    <row r="76" spans="1:22">
      <c r="A76" s="20">
        <v>4</v>
      </c>
      <c r="B76" s="25">
        <f>COUNTIF(B9:B66,4)</f>
        <v>10</v>
      </c>
      <c r="C76" s="25">
        <f t="shared" ref="C76:U76" si="11">COUNTIF(C9:C66,4)</f>
        <v>12</v>
      </c>
      <c r="D76" s="25">
        <f t="shared" si="11"/>
        <v>12</v>
      </c>
      <c r="E76" s="25">
        <f t="shared" si="11"/>
        <v>12</v>
      </c>
      <c r="F76" s="25">
        <f t="shared" si="11"/>
        <v>8</v>
      </c>
      <c r="G76" s="25">
        <f t="shared" si="11"/>
        <v>4</v>
      </c>
      <c r="H76" s="25">
        <f t="shared" si="11"/>
        <v>10</v>
      </c>
      <c r="I76" s="25">
        <f t="shared" si="11"/>
        <v>12</v>
      </c>
      <c r="J76" s="25">
        <f t="shared" si="11"/>
        <v>15</v>
      </c>
      <c r="K76" s="25">
        <f t="shared" si="11"/>
        <v>16</v>
      </c>
      <c r="L76" s="25">
        <f t="shared" si="11"/>
        <v>18</v>
      </c>
      <c r="M76" s="25">
        <f t="shared" si="11"/>
        <v>21</v>
      </c>
      <c r="N76" s="25">
        <f t="shared" si="11"/>
        <v>22</v>
      </c>
      <c r="O76" s="25">
        <f t="shared" si="11"/>
        <v>14</v>
      </c>
      <c r="P76" s="25">
        <f t="shared" si="11"/>
        <v>13</v>
      </c>
      <c r="Q76" s="25">
        <f t="shared" si="11"/>
        <v>8</v>
      </c>
      <c r="R76" s="25">
        <f t="shared" si="11"/>
        <v>5</v>
      </c>
      <c r="S76" s="25">
        <f t="shared" si="11"/>
        <v>1</v>
      </c>
      <c r="T76" s="25">
        <f t="shared" si="11"/>
        <v>1</v>
      </c>
      <c r="U76" s="25">
        <f t="shared" si="11"/>
        <v>1</v>
      </c>
      <c r="V76" s="25">
        <f t="shared" si="10"/>
        <v>215</v>
      </c>
    </row>
    <row r="77" spans="1:22">
      <c r="A77" s="20">
        <v>3</v>
      </c>
      <c r="B77" s="25">
        <f>COUNTIF(B9:B66,3)</f>
        <v>0</v>
      </c>
      <c r="C77" s="25">
        <f t="shared" ref="C77:U77" si="12">COUNTIF(C9:C66,5)</f>
        <v>46</v>
      </c>
      <c r="D77" s="25">
        <f t="shared" si="12"/>
        <v>42</v>
      </c>
      <c r="E77" s="25">
        <f t="shared" si="12"/>
        <v>41</v>
      </c>
      <c r="F77" s="25">
        <f t="shared" si="12"/>
        <v>40</v>
      </c>
      <c r="G77" s="25">
        <f t="shared" si="12"/>
        <v>48</v>
      </c>
      <c r="H77" s="25">
        <f t="shared" si="12"/>
        <v>41</v>
      </c>
      <c r="I77" s="25">
        <f t="shared" si="12"/>
        <v>39</v>
      </c>
      <c r="J77" s="25">
        <f t="shared" si="12"/>
        <v>37</v>
      </c>
      <c r="K77" s="25">
        <f t="shared" si="12"/>
        <v>36</v>
      </c>
      <c r="L77" s="25">
        <f t="shared" si="12"/>
        <v>32</v>
      </c>
      <c r="M77" s="25">
        <f t="shared" si="12"/>
        <v>34</v>
      </c>
      <c r="N77" s="25">
        <f t="shared" si="12"/>
        <v>31</v>
      </c>
      <c r="O77" s="25">
        <f t="shared" si="12"/>
        <v>34</v>
      </c>
      <c r="P77" s="25">
        <f t="shared" si="12"/>
        <v>34</v>
      </c>
      <c r="Q77" s="25">
        <f t="shared" si="12"/>
        <v>36</v>
      </c>
      <c r="R77" s="25">
        <f t="shared" si="12"/>
        <v>44</v>
      </c>
      <c r="S77" s="25">
        <f t="shared" si="12"/>
        <v>48</v>
      </c>
      <c r="T77" s="25">
        <f t="shared" si="12"/>
        <v>55</v>
      </c>
      <c r="U77" s="25">
        <f t="shared" si="12"/>
        <v>55</v>
      </c>
      <c r="V77" s="25">
        <f t="shared" si="10"/>
        <v>773</v>
      </c>
    </row>
    <row r="78" spans="1:22">
      <c r="A78" s="20">
        <v>2</v>
      </c>
      <c r="B78" s="25">
        <f>COUNTIF(B9:B66,2)</f>
        <v>0</v>
      </c>
      <c r="C78" s="25">
        <f t="shared" ref="C78:U78" si="13">COUNTIF(C9:C66,5)</f>
        <v>46</v>
      </c>
      <c r="D78" s="25">
        <f t="shared" si="13"/>
        <v>42</v>
      </c>
      <c r="E78" s="25">
        <f t="shared" si="13"/>
        <v>41</v>
      </c>
      <c r="F78" s="25">
        <f t="shared" si="13"/>
        <v>40</v>
      </c>
      <c r="G78" s="25">
        <f t="shared" si="13"/>
        <v>48</v>
      </c>
      <c r="H78" s="25">
        <f t="shared" si="13"/>
        <v>41</v>
      </c>
      <c r="I78" s="25">
        <f t="shared" si="13"/>
        <v>39</v>
      </c>
      <c r="J78" s="25">
        <f t="shared" si="13"/>
        <v>37</v>
      </c>
      <c r="K78" s="25">
        <f t="shared" si="13"/>
        <v>36</v>
      </c>
      <c r="L78" s="25">
        <f t="shared" si="13"/>
        <v>32</v>
      </c>
      <c r="M78" s="25">
        <f t="shared" si="13"/>
        <v>34</v>
      </c>
      <c r="N78" s="25">
        <f t="shared" si="13"/>
        <v>31</v>
      </c>
      <c r="O78" s="25">
        <f t="shared" si="13"/>
        <v>34</v>
      </c>
      <c r="P78" s="25">
        <f t="shared" si="13"/>
        <v>34</v>
      </c>
      <c r="Q78" s="25">
        <f t="shared" si="13"/>
        <v>36</v>
      </c>
      <c r="R78" s="25">
        <f t="shared" si="13"/>
        <v>44</v>
      </c>
      <c r="S78" s="25">
        <f t="shared" si="13"/>
        <v>48</v>
      </c>
      <c r="T78" s="25">
        <f t="shared" si="13"/>
        <v>55</v>
      </c>
      <c r="U78" s="25">
        <f t="shared" si="13"/>
        <v>55</v>
      </c>
      <c r="V78" s="25">
        <f t="shared" si="10"/>
        <v>773</v>
      </c>
    </row>
    <row r="79" spans="1:22">
      <c r="A79" s="20">
        <v>1</v>
      </c>
      <c r="B79" s="25">
        <f>COUNTIF(B9:B66,1)</f>
        <v>0</v>
      </c>
      <c r="C79" s="25">
        <f t="shared" ref="C79:U79" si="14">COUNTIF(C9:C66,1)</f>
        <v>0</v>
      </c>
      <c r="D79" s="25">
        <f t="shared" si="14"/>
        <v>0</v>
      </c>
      <c r="E79" s="25">
        <f t="shared" si="14"/>
        <v>0</v>
      </c>
      <c r="F79" s="25">
        <f t="shared" si="14"/>
        <v>0</v>
      </c>
      <c r="G79" s="25">
        <f t="shared" si="14"/>
        <v>0</v>
      </c>
      <c r="H79" s="25">
        <f t="shared" si="14"/>
        <v>0</v>
      </c>
      <c r="I79" s="25">
        <f t="shared" si="14"/>
        <v>0</v>
      </c>
      <c r="J79" s="25">
        <f t="shared" si="14"/>
        <v>0</v>
      </c>
      <c r="K79" s="25">
        <f t="shared" si="14"/>
        <v>0</v>
      </c>
      <c r="L79" s="25">
        <f t="shared" si="14"/>
        <v>0</v>
      </c>
      <c r="M79" s="25">
        <f t="shared" si="14"/>
        <v>0</v>
      </c>
      <c r="N79" s="25">
        <f t="shared" si="14"/>
        <v>0</v>
      </c>
      <c r="O79" s="25">
        <f t="shared" si="14"/>
        <v>0</v>
      </c>
      <c r="P79" s="25">
        <f t="shared" si="14"/>
        <v>0</v>
      </c>
      <c r="Q79" s="25">
        <f t="shared" si="14"/>
        <v>0</v>
      </c>
      <c r="R79" s="25">
        <f t="shared" si="14"/>
        <v>0</v>
      </c>
      <c r="S79" s="25">
        <f t="shared" si="14"/>
        <v>0</v>
      </c>
      <c r="T79" s="25">
        <f t="shared" si="14"/>
        <v>0</v>
      </c>
      <c r="U79" s="25">
        <f t="shared" si="14"/>
        <v>0</v>
      </c>
      <c r="V79" s="25">
        <f t="shared" si="10"/>
        <v>0</v>
      </c>
    </row>
    <row r="80" spans="1:22" ht="15.75">
      <c r="A80" s="26"/>
      <c r="B80" s="26"/>
      <c r="C80" s="26"/>
      <c r="D80" s="2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27"/>
    </row>
    <row r="82" spans="1:22" ht="15.75">
      <c r="A82" s="34" t="s">
        <v>9</v>
      </c>
      <c r="B82" s="34"/>
      <c r="C82" s="34"/>
      <c r="D82" s="35"/>
      <c r="E82" s="33">
        <v>4.8275862068965498</v>
      </c>
      <c r="F82" s="33">
        <v>4.7931034482758603</v>
      </c>
      <c r="G82" s="33">
        <v>4.6551724137930997</v>
      </c>
      <c r="H82" s="33">
        <v>4.6206896551724101</v>
      </c>
      <c r="I82" s="33">
        <v>4.4655172413793096</v>
      </c>
    </row>
    <row r="83" spans="1:22" ht="15.75">
      <c r="A83" s="34" t="s">
        <v>10</v>
      </c>
      <c r="B83" s="34"/>
      <c r="C83" s="34"/>
      <c r="D83" s="35"/>
      <c r="E83" s="33">
        <v>4.7241379310344804</v>
      </c>
      <c r="F83" s="33">
        <v>4.5862068965517198</v>
      </c>
      <c r="G83" s="33">
        <v>4.5517241379310303</v>
      </c>
      <c r="H83" s="33">
        <v>4.5344827586206904</v>
      </c>
      <c r="I83" s="33">
        <v>4.5172413793103496</v>
      </c>
    </row>
    <row r="84" spans="1:22" ht="27" customHeight="1">
      <c r="A84" s="123" t="s">
        <v>14</v>
      </c>
      <c r="B84" s="123"/>
      <c r="C84" s="123"/>
      <c r="D84" s="123"/>
      <c r="E84" s="33">
        <v>4.4137931034482802</v>
      </c>
      <c r="F84" s="33">
        <v>4.5344827586206904</v>
      </c>
      <c r="G84" s="33">
        <v>4.4482758620689697</v>
      </c>
      <c r="H84" s="33">
        <v>4.4137931034482802</v>
      </c>
      <c r="I84" s="33">
        <v>4.3965517241379297</v>
      </c>
    </row>
    <row r="85" spans="1:22" ht="15.75">
      <c r="A85" s="123" t="s">
        <v>12</v>
      </c>
      <c r="B85" s="123"/>
      <c r="C85" s="123"/>
      <c r="D85" s="123"/>
      <c r="E85" s="33">
        <v>4.3620689655172402</v>
      </c>
      <c r="F85" s="33">
        <v>4.6034482758620703</v>
      </c>
      <c r="G85" s="33">
        <v>4.6724137931034502</v>
      </c>
      <c r="H85" s="33">
        <v>4.9137931034482802</v>
      </c>
      <c r="I85" s="33">
        <v>4.9137931034482802</v>
      </c>
    </row>
    <row r="92" spans="1:22" ht="15.75">
      <c r="A92" s="30" t="s">
        <v>15</v>
      </c>
      <c r="B92" s="30"/>
      <c r="C92" s="30"/>
      <c r="D92" s="30"/>
      <c r="E92" s="30"/>
      <c r="F92" s="30"/>
      <c r="K92" s="30"/>
      <c r="L92" s="30" t="s">
        <v>16</v>
      </c>
      <c r="M92" s="30"/>
      <c r="N92" s="30"/>
      <c r="O92" s="30"/>
      <c r="P92" s="30"/>
      <c r="Q92" s="30"/>
      <c r="R92" s="30"/>
      <c r="S92" s="30"/>
      <c r="T92" s="30" t="s">
        <v>17</v>
      </c>
      <c r="U92" s="30"/>
      <c r="V92" s="30"/>
    </row>
  </sheetData>
  <mergeCells count="12">
    <mergeCell ref="A73:V73"/>
    <mergeCell ref="A84:D84"/>
    <mergeCell ref="A85:D85"/>
    <mergeCell ref="A70:A72"/>
    <mergeCell ref="V70:V71"/>
    <mergeCell ref="A4:V4"/>
    <mergeCell ref="A5:V5"/>
    <mergeCell ref="F6:P6"/>
    <mergeCell ref="B71:F71"/>
    <mergeCell ref="G71:K71"/>
    <mergeCell ref="L71:P71"/>
    <mergeCell ref="Q71:U71"/>
  </mergeCells>
  <pageMargins left="0.35416666666666702" right="0.35416666666666702" top="0.51180555555555596" bottom="0.47222222222222199" header="0.156944444444444" footer="0.23611111111111099"/>
  <pageSetup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4:W109"/>
  <sheetViews>
    <sheetView topLeftCell="A61" workbookViewId="0">
      <selection activeCell="T100" sqref="T100"/>
    </sheetView>
  </sheetViews>
  <sheetFormatPr defaultColWidth="9" defaultRowHeight="15"/>
  <cols>
    <col min="1" max="1" width="6.42578125" style="1" customWidth="1"/>
    <col min="2" max="2" width="6" style="1" customWidth="1"/>
    <col min="3" max="4" width="6.85546875" style="1" customWidth="1"/>
    <col min="5" max="5" width="6.28515625" style="1" customWidth="1"/>
    <col min="6" max="6" width="6.85546875" style="1" customWidth="1"/>
    <col min="7" max="7" width="6.7109375" style="1" customWidth="1"/>
    <col min="8" max="8" width="7.42578125" style="1" customWidth="1"/>
    <col min="9" max="9" width="6.42578125" style="1" customWidth="1"/>
    <col min="10" max="10" width="6.5703125" style="1" customWidth="1"/>
    <col min="11" max="11" width="7.5703125" style="1" customWidth="1"/>
    <col min="12" max="12" width="6.7109375" style="1" customWidth="1"/>
    <col min="13" max="13" width="7.42578125" style="1" customWidth="1"/>
    <col min="14" max="14" width="9" style="1"/>
    <col min="15" max="15" width="7.42578125" style="1" customWidth="1"/>
    <col min="16" max="16" width="9" style="1"/>
    <col min="17" max="17" width="7.42578125" style="1" customWidth="1"/>
    <col min="18" max="18" width="7" style="1" customWidth="1"/>
    <col min="19" max="19" width="7.28515625" style="1" customWidth="1"/>
    <col min="20" max="20" width="7.5703125" style="1" customWidth="1"/>
    <col min="21" max="21" width="7.7109375" style="1" customWidth="1"/>
    <col min="22" max="22" width="9.5703125" style="1" customWidth="1"/>
    <col min="23" max="16384" width="9" style="1"/>
  </cols>
  <sheetData>
    <row r="4" spans="1:22" ht="26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</row>
    <row r="5" spans="1:22" ht="19.5">
      <c r="A5" s="87" t="s">
        <v>0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</row>
    <row r="6" spans="1:22" ht="20.25">
      <c r="A6" s="2" t="s">
        <v>1</v>
      </c>
      <c r="B6" s="2"/>
      <c r="C6" s="2"/>
      <c r="D6" s="2"/>
      <c r="E6" s="2"/>
      <c r="F6" s="88" t="s">
        <v>2</v>
      </c>
      <c r="G6" s="88"/>
      <c r="H6" s="88"/>
      <c r="I6" s="88"/>
      <c r="J6" s="88"/>
      <c r="K6" s="88"/>
      <c r="L6" s="88"/>
      <c r="M6" s="88"/>
      <c r="N6" s="88"/>
      <c r="O6" s="88"/>
      <c r="P6" s="88"/>
      <c r="Q6" s="2"/>
      <c r="R6" s="2"/>
      <c r="S6" s="2"/>
      <c r="T6" s="2"/>
      <c r="U6" s="2"/>
      <c r="V6" s="2"/>
    </row>
    <row r="7" spans="1:22" ht="16.5">
      <c r="A7" s="3" t="s">
        <v>29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3"/>
      <c r="O7" s="3"/>
      <c r="P7" s="3"/>
      <c r="Q7" s="5" t="s">
        <v>38</v>
      </c>
      <c r="R7" s="5" t="s">
        <v>39</v>
      </c>
      <c r="S7" s="5"/>
      <c r="T7" s="5"/>
      <c r="U7" s="6"/>
      <c r="V7" s="3"/>
    </row>
    <row r="8" spans="1:22">
      <c r="A8" s="7" t="s">
        <v>5</v>
      </c>
      <c r="B8" s="8">
        <v>1.1000000000000001</v>
      </c>
      <c r="C8" s="8">
        <v>1.2</v>
      </c>
      <c r="D8" s="8">
        <v>1.3</v>
      </c>
      <c r="E8" s="8">
        <v>1.4</v>
      </c>
      <c r="F8" s="8">
        <v>1.5</v>
      </c>
      <c r="G8" s="8">
        <v>2.1</v>
      </c>
      <c r="H8" s="8">
        <v>2.2000000000000002</v>
      </c>
      <c r="I8" s="8">
        <v>2.2999999999999998</v>
      </c>
      <c r="J8" s="8">
        <v>2.4</v>
      </c>
      <c r="K8" s="8">
        <v>2.5</v>
      </c>
      <c r="L8" s="8">
        <v>3.1</v>
      </c>
      <c r="M8" s="8">
        <v>3.2</v>
      </c>
      <c r="N8" s="8">
        <v>3.3</v>
      </c>
      <c r="O8" s="8">
        <v>3.4</v>
      </c>
      <c r="P8" s="8">
        <v>3.5</v>
      </c>
      <c r="Q8" s="8">
        <v>4.0999999999999996</v>
      </c>
      <c r="R8" s="8">
        <v>4.2</v>
      </c>
      <c r="S8" s="8">
        <v>4.3</v>
      </c>
      <c r="T8" s="8">
        <v>4.4000000000000004</v>
      </c>
      <c r="U8" s="8">
        <v>4.5</v>
      </c>
      <c r="V8" s="9" t="s">
        <v>6</v>
      </c>
    </row>
    <row r="9" spans="1:22" ht="15.75">
      <c r="A9" s="10">
        <v>1</v>
      </c>
      <c r="B9" s="11">
        <v>5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1">
        <v>5</v>
      </c>
      <c r="K9" s="11">
        <v>5</v>
      </c>
      <c r="L9" s="11">
        <v>5</v>
      </c>
      <c r="M9" s="11">
        <v>5</v>
      </c>
      <c r="N9" s="11">
        <v>4</v>
      </c>
      <c r="O9" s="11">
        <v>4</v>
      </c>
      <c r="P9" s="11">
        <v>4</v>
      </c>
      <c r="Q9" s="11">
        <v>4</v>
      </c>
      <c r="R9" s="11">
        <v>4</v>
      </c>
      <c r="S9" s="11">
        <v>4</v>
      </c>
      <c r="T9" s="11">
        <v>4</v>
      </c>
      <c r="U9" s="11">
        <v>4</v>
      </c>
      <c r="V9" s="11">
        <f>SUM(B9:U9)</f>
        <v>92</v>
      </c>
    </row>
    <row r="10" spans="1:22" ht="15.75">
      <c r="A10" s="10">
        <v>2</v>
      </c>
      <c r="B10" s="11">
        <v>5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1">
        <v>5</v>
      </c>
      <c r="K10" s="11">
        <v>5</v>
      </c>
      <c r="L10" s="11">
        <v>5</v>
      </c>
      <c r="M10" s="11">
        <v>5</v>
      </c>
      <c r="N10" s="11">
        <v>5</v>
      </c>
      <c r="O10" s="11">
        <v>5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f t="shared" ref="V10:V41" si="0">SUM(B10:U10)</f>
        <v>100</v>
      </c>
    </row>
    <row r="11" spans="1:22" ht="15.75">
      <c r="A11" s="10">
        <v>3</v>
      </c>
      <c r="B11" s="11">
        <v>5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1">
        <v>5</v>
      </c>
      <c r="K11" s="11">
        <v>5</v>
      </c>
      <c r="L11" s="11">
        <v>5</v>
      </c>
      <c r="M11" s="11">
        <v>5</v>
      </c>
      <c r="N11" s="11">
        <v>4</v>
      </c>
      <c r="O11" s="11">
        <v>4</v>
      </c>
      <c r="P11" s="11">
        <v>4</v>
      </c>
      <c r="Q11" s="11">
        <v>4</v>
      </c>
      <c r="R11" s="11">
        <v>4</v>
      </c>
      <c r="S11" s="11">
        <v>4</v>
      </c>
      <c r="T11" s="11">
        <v>4</v>
      </c>
      <c r="U11" s="11">
        <v>4</v>
      </c>
      <c r="V11" s="11">
        <f t="shared" si="0"/>
        <v>92</v>
      </c>
    </row>
    <row r="12" spans="1:22" ht="15.75">
      <c r="A12" s="10">
        <v>4</v>
      </c>
      <c r="B12" s="11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1">
        <v>5</v>
      </c>
      <c r="K12" s="11">
        <v>5</v>
      </c>
      <c r="L12" s="11">
        <v>5</v>
      </c>
      <c r="M12" s="11">
        <v>5</v>
      </c>
      <c r="N12" s="11">
        <v>5</v>
      </c>
      <c r="O12" s="11">
        <v>5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f t="shared" si="0"/>
        <v>100</v>
      </c>
    </row>
    <row r="13" spans="1:22" ht="15.75">
      <c r="A13" s="10">
        <v>5</v>
      </c>
      <c r="B13" s="12">
        <v>5</v>
      </c>
      <c r="C13" s="12">
        <v>5</v>
      </c>
      <c r="D13" s="12">
        <v>5</v>
      </c>
      <c r="E13" s="12">
        <v>5</v>
      </c>
      <c r="F13" s="12">
        <v>5</v>
      </c>
      <c r="G13" s="12">
        <v>5</v>
      </c>
      <c r="H13" s="12">
        <v>5</v>
      </c>
      <c r="I13" s="12">
        <v>5</v>
      </c>
      <c r="J13" s="12">
        <v>5</v>
      </c>
      <c r="K13" s="12">
        <v>5</v>
      </c>
      <c r="L13" s="12">
        <v>5</v>
      </c>
      <c r="M13" s="12">
        <v>5</v>
      </c>
      <c r="N13" s="12">
        <v>5</v>
      </c>
      <c r="O13" s="12">
        <v>5</v>
      </c>
      <c r="P13" s="12">
        <v>5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1">
        <f t="shared" si="0"/>
        <v>100</v>
      </c>
    </row>
    <row r="14" spans="1:22" ht="15.75">
      <c r="A14" s="10">
        <v>6</v>
      </c>
      <c r="B14" s="11">
        <v>5</v>
      </c>
      <c r="C14" s="11">
        <v>5</v>
      </c>
      <c r="D14" s="11">
        <v>5</v>
      </c>
      <c r="E14" s="11">
        <v>5</v>
      </c>
      <c r="F14" s="11">
        <v>5</v>
      </c>
      <c r="G14" s="11">
        <v>4</v>
      </c>
      <c r="H14" s="11">
        <v>4</v>
      </c>
      <c r="I14" s="11">
        <v>4</v>
      </c>
      <c r="J14" s="11">
        <v>4</v>
      </c>
      <c r="K14" s="11">
        <v>4</v>
      </c>
      <c r="L14" s="11">
        <v>4</v>
      </c>
      <c r="M14" s="11">
        <v>4</v>
      </c>
      <c r="N14" s="11">
        <v>4</v>
      </c>
      <c r="O14" s="11">
        <v>4</v>
      </c>
      <c r="P14" s="11">
        <v>4</v>
      </c>
      <c r="Q14" s="11">
        <v>4</v>
      </c>
      <c r="R14" s="11">
        <v>4</v>
      </c>
      <c r="S14" s="11">
        <v>4</v>
      </c>
      <c r="T14" s="11">
        <v>5</v>
      </c>
      <c r="U14" s="11">
        <v>5</v>
      </c>
      <c r="V14" s="11">
        <f t="shared" si="0"/>
        <v>87</v>
      </c>
    </row>
    <row r="15" spans="1:22" ht="15.75">
      <c r="A15" s="10">
        <v>7</v>
      </c>
      <c r="B15" s="11">
        <v>5</v>
      </c>
      <c r="C15" s="11">
        <v>5</v>
      </c>
      <c r="D15" s="11">
        <v>5</v>
      </c>
      <c r="E15" s="11">
        <v>5</v>
      </c>
      <c r="F15" s="11">
        <v>4</v>
      </c>
      <c r="G15" s="11">
        <v>5</v>
      </c>
      <c r="H15" s="11">
        <v>5</v>
      </c>
      <c r="I15" s="11">
        <v>5</v>
      </c>
      <c r="J15" s="11">
        <v>3</v>
      </c>
      <c r="K15" s="11">
        <v>5</v>
      </c>
      <c r="L15" s="11">
        <v>5</v>
      </c>
      <c r="M15" s="11">
        <v>5</v>
      </c>
      <c r="N15" s="11">
        <v>5</v>
      </c>
      <c r="O15" s="11">
        <v>5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f t="shared" si="0"/>
        <v>97</v>
      </c>
    </row>
    <row r="16" spans="1:22" ht="15.75">
      <c r="A16" s="10">
        <v>8</v>
      </c>
      <c r="B16" s="11">
        <v>5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1">
        <v>4</v>
      </c>
      <c r="K16" s="11">
        <v>5</v>
      </c>
      <c r="L16" s="11">
        <v>5</v>
      </c>
      <c r="M16" s="11">
        <v>4</v>
      </c>
      <c r="N16" s="11">
        <v>5</v>
      </c>
      <c r="O16" s="11">
        <v>5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f t="shared" si="0"/>
        <v>98</v>
      </c>
    </row>
    <row r="17" spans="1:22" ht="15.75">
      <c r="A17" s="10">
        <v>9</v>
      </c>
      <c r="B17" s="11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1">
        <v>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f t="shared" si="0"/>
        <v>98</v>
      </c>
    </row>
    <row r="18" spans="1:22" ht="15.75">
      <c r="A18" s="10">
        <v>10</v>
      </c>
      <c r="B18" s="11">
        <v>4</v>
      </c>
      <c r="C18" s="11">
        <v>5</v>
      </c>
      <c r="D18" s="11">
        <v>5</v>
      </c>
      <c r="E18" s="11">
        <v>5</v>
      </c>
      <c r="F18" s="11">
        <v>3</v>
      </c>
      <c r="G18" s="11">
        <v>5</v>
      </c>
      <c r="H18" s="11">
        <v>5</v>
      </c>
      <c r="I18" s="11">
        <v>4</v>
      </c>
      <c r="J18" s="11">
        <v>5</v>
      </c>
      <c r="K18" s="11">
        <v>5</v>
      </c>
      <c r="L18" s="11">
        <v>4</v>
      </c>
      <c r="M18" s="11">
        <v>5</v>
      </c>
      <c r="N18" s="11">
        <v>5</v>
      </c>
      <c r="O18" s="11">
        <v>5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f t="shared" si="0"/>
        <v>95</v>
      </c>
    </row>
    <row r="19" spans="1:22" ht="15.75">
      <c r="A19" s="10">
        <v>11</v>
      </c>
      <c r="B19" s="11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1">
        <v>5</v>
      </c>
      <c r="K19" s="11">
        <v>5</v>
      </c>
      <c r="L19" s="11">
        <v>5</v>
      </c>
      <c r="M19" s="11">
        <v>5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f t="shared" si="0"/>
        <v>100</v>
      </c>
    </row>
    <row r="20" spans="1:22" ht="15.75">
      <c r="A20" s="10">
        <v>12</v>
      </c>
      <c r="B20" s="11">
        <v>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1">
        <v>5</v>
      </c>
      <c r="K20" s="11">
        <v>5</v>
      </c>
      <c r="L20" s="11">
        <v>5</v>
      </c>
      <c r="M20" s="11">
        <v>5</v>
      </c>
      <c r="N20" s="11">
        <v>5</v>
      </c>
      <c r="O20" s="11">
        <v>5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f t="shared" si="0"/>
        <v>100</v>
      </c>
    </row>
    <row r="21" spans="1:22" ht="15.75">
      <c r="A21" s="10">
        <v>13</v>
      </c>
      <c r="B21" s="11">
        <v>5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1">
        <v>5</v>
      </c>
      <c r="K21" s="11">
        <v>5</v>
      </c>
      <c r="L21" s="11">
        <v>5</v>
      </c>
      <c r="M21" s="11">
        <v>5</v>
      </c>
      <c r="N21" s="11">
        <v>5</v>
      </c>
      <c r="O21" s="11">
        <v>5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f t="shared" si="0"/>
        <v>100</v>
      </c>
    </row>
    <row r="22" spans="1:22" ht="15.75">
      <c r="A22" s="10">
        <v>14</v>
      </c>
      <c r="B22" s="11">
        <v>5</v>
      </c>
      <c r="C22" s="11">
        <v>4</v>
      </c>
      <c r="D22" s="11">
        <v>5</v>
      </c>
      <c r="E22" s="11">
        <v>3</v>
      </c>
      <c r="F22" s="11">
        <v>5</v>
      </c>
      <c r="G22" s="11">
        <v>5</v>
      </c>
      <c r="H22" s="11">
        <v>4</v>
      </c>
      <c r="I22" s="11">
        <v>5</v>
      </c>
      <c r="J22" s="11">
        <v>4</v>
      </c>
      <c r="K22" s="11">
        <v>5</v>
      </c>
      <c r="L22" s="11">
        <v>5</v>
      </c>
      <c r="M22" s="11">
        <v>5</v>
      </c>
      <c r="N22" s="11">
        <v>4</v>
      </c>
      <c r="O22" s="11">
        <v>5</v>
      </c>
      <c r="P22" s="11">
        <v>5</v>
      </c>
      <c r="Q22" s="11">
        <v>4</v>
      </c>
      <c r="R22" s="11">
        <v>5</v>
      </c>
      <c r="S22" s="11">
        <v>4</v>
      </c>
      <c r="T22" s="11">
        <v>4</v>
      </c>
      <c r="U22" s="11">
        <v>5</v>
      </c>
      <c r="V22" s="11">
        <f t="shared" si="0"/>
        <v>91</v>
      </c>
    </row>
    <row r="23" spans="1:22" ht="15.75">
      <c r="A23" s="10">
        <v>15</v>
      </c>
      <c r="B23" s="11">
        <v>5</v>
      </c>
      <c r="C23" s="11">
        <v>5</v>
      </c>
      <c r="D23" s="11">
        <v>4</v>
      </c>
      <c r="E23" s="11">
        <v>5</v>
      </c>
      <c r="F23" s="11">
        <v>5</v>
      </c>
      <c r="G23" s="11">
        <v>5</v>
      </c>
      <c r="H23" s="11">
        <v>4</v>
      </c>
      <c r="I23" s="11">
        <v>5</v>
      </c>
      <c r="J23" s="11">
        <v>5</v>
      </c>
      <c r="K23" s="11">
        <v>4</v>
      </c>
      <c r="L23" s="11">
        <v>5</v>
      </c>
      <c r="M23" s="11">
        <v>5</v>
      </c>
      <c r="N23" s="11">
        <v>4</v>
      </c>
      <c r="O23" s="11">
        <v>5</v>
      </c>
      <c r="P23" s="11">
        <v>5</v>
      </c>
      <c r="Q23" s="11">
        <v>5</v>
      </c>
      <c r="R23" s="11">
        <v>5</v>
      </c>
      <c r="S23" s="11">
        <v>5</v>
      </c>
      <c r="T23" s="11">
        <v>4</v>
      </c>
      <c r="U23" s="11">
        <v>5</v>
      </c>
      <c r="V23" s="11">
        <f t="shared" si="0"/>
        <v>95</v>
      </c>
    </row>
    <row r="24" spans="1:22" ht="15.75">
      <c r="A24" s="10">
        <v>16</v>
      </c>
      <c r="B24" s="12">
        <v>3</v>
      </c>
      <c r="C24" s="12">
        <v>3</v>
      </c>
      <c r="D24" s="12">
        <v>3</v>
      </c>
      <c r="E24" s="12">
        <v>3</v>
      </c>
      <c r="F24" s="12">
        <v>3</v>
      </c>
      <c r="G24" s="12">
        <v>3</v>
      </c>
      <c r="H24" s="12">
        <v>3</v>
      </c>
      <c r="I24" s="12">
        <v>5</v>
      </c>
      <c r="J24" s="12">
        <v>5</v>
      </c>
      <c r="K24" s="12">
        <v>5</v>
      </c>
      <c r="L24" s="12">
        <v>5</v>
      </c>
      <c r="M24" s="12">
        <v>5</v>
      </c>
      <c r="N24" s="12">
        <v>4</v>
      </c>
      <c r="O24" s="12">
        <v>5</v>
      </c>
      <c r="P24" s="12">
        <v>5</v>
      </c>
      <c r="Q24" s="12">
        <v>5</v>
      </c>
      <c r="R24" s="12">
        <v>5</v>
      </c>
      <c r="S24" s="12">
        <v>5</v>
      </c>
      <c r="T24" s="12">
        <v>5</v>
      </c>
      <c r="U24" s="12">
        <v>5</v>
      </c>
      <c r="V24" s="11">
        <f t="shared" si="0"/>
        <v>85</v>
      </c>
    </row>
    <row r="25" spans="1:22" ht="15.75">
      <c r="A25" s="10">
        <v>17</v>
      </c>
      <c r="B25" s="12">
        <v>4</v>
      </c>
      <c r="C25" s="12">
        <v>3</v>
      </c>
      <c r="D25" s="12">
        <v>3</v>
      </c>
      <c r="E25" s="12">
        <v>3</v>
      </c>
      <c r="F25" s="12">
        <v>3</v>
      </c>
      <c r="G25" s="12">
        <v>3</v>
      </c>
      <c r="H25" s="12">
        <v>3</v>
      </c>
      <c r="I25" s="12">
        <v>5</v>
      </c>
      <c r="J25" s="12">
        <v>5</v>
      </c>
      <c r="K25" s="12">
        <v>3</v>
      </c>
      <c r="L25" s="12">
        <v>3</v>
      </c>
      <c r="M25" s="12">
        <v>3</v>
      </c>
      <c r="N25" s="12">
        <v>3</v>
      </c>
      <c r="O25" s="12">
        <v>3</v>
      </c>
      <c r="P25" s="12">
        <v>3</v>
      </c>
      <c r="Q25" s="12">
        <v>3</v>
      </c>
      <c r="R25" s="12">
        <v>5</v>
      </c>
      <c r="S25" s="12">
        <v>5</v>
      </c>
      <c r="T25" s="12">
        <v>5</v>
      </c>
      <c r="U25" s="12">
        <v>5</v>
      </c>
      <c r="V25" s="11">
        <f t="shared" si="0"/>
        <v>73</v>
      </c>
    </row>
    <row r="26" spans="1:22" ht="15.75">
      <c r="A26" s="10">
        <v>18</v>
      </c>
      <c r="B26" s="12">
        <v>3</v>
      </c>
      <c r="C26" s="12">
        <v>3</v>
      </c>
      <c r="D26" s="12">
        <v>3</v>
      </c>
      <c r="E26" s="12">
        <v>3</v>
      </c>
      <c r="F26" s="12">
        <v>3</v>
      </c>
      <c r="G26" s="12">
        <v>3</v>
      </c>
      <c r="H26" s="12">
        <v>3</v>
      </c>
      <c r="I26" s="12">
        <v>5</v>
      </c>
      <c r="J26" s="12">
        <v>5</v>
      </c>
      <c r="K26" s="12">
        <v>3</v>
      </c>
      <c r="L26" s="12">
        <v>3</v>
      </c>
      <c r="M26" s="12">
        <v>3</v>
      </c>
      <c r="N26" s="12">
        <v>3</v>
      </c>
      <c r="O26" s="12">
        <v>3</v>
      </c>
      <c r="P26" s="12">
        <v>3</v>
      </c>
      <c r="Q26" s="12">
        <v>3</v>
      </c>
      <c r="R26" s="12">
        <v>5</v>
      </c>
      <c r="S26" s="12">
        <v>5</v>
      </c>
      <c r="T26" s="12">
        <v>5</v>
      </c>
      <c r="U26" s="12">
        <v>5</v>
      </c>
      <c r="V26" s="11">
        <f t="shared" si="0"/>
        <v>72</v>
      </c>
    </row>
    <row r="27" spans="1:22" ht="15.75">
      <c r="A27" s="10">
        <v>19</v>
      </c>
      <c r="B27" s="12">
        <v>3</v>
      </c>
      <c r="C27" s="12">
        <v>3</v>
      </c>
      <c r="D27" s="12">
        <v>3</v>
      </c>
      <c r="E27" s="12">
        <v>3</v>
      </c>
      <c r="F27" s="12">
        <v>3</v>
      </c>
      <c r="G27" s="12">
        <v>3</v>
      </c>
      <c r="H27" s="12">
        <v>3</v>
      </c>
      <c r="I27" s="12">
        <v>5</v>
      </c>
      <c r="J27" s="12">
        <v>5</v>
      </c>
      <c r="K27" s="12">
        <v>3</v>
      </c>
      <c r="L27" s="12">
        <v>3</v>
      </c>
      <c r="M27" s="12">
        <v>3</v>
      </c>
      <c r="N27" s="12">
        <v>3</v>
      </c>
      <c r="O27" s="12">
        <v>3</v>
      </c>
      <c r="P27" s="12">
        <v>3</v>
      </c>
      <c r="Q27" s="12">
        <v>3</v>
      </c>
      <c r="R27" s="12">
        <v>5</v>
      </c>
      <c r="S27" s="12">
        <v>5</v>
      </c>
      <c r="T27" s="12">
        <v>5</v>
      </c>
      <c r="U27" s="12">
        <v>5</v>
      </c>
      <c r="V27" s="11">
        <f t="shared" si="0"/>
        <v>72</v>
      </c>
    </row>
    <row r="28" spans="1:22" ht="15.75">
      <c r="A28" s="10">
        <v>20</v>
      </c>
      <c r="B28" s="12">
        <v>3</v>
      </c>
      <c r="C28" s="12">
        <v>3</v>
      </c>
      <c r="D28" s="12">
        <v>3</v>
      </c>
      <c r="E28" s="12">
        <v>3</v>
      </c>
      <c r="F28" s="12">
        <v>3</v>
      </c>
      <c r="G28" s="12">
        <v>3</v>
      </c>
      <c r="H28" s="12">
        <v>3</v>
      </c>
      <c r="I28" s="12">
        <v>5</v>
      </c>
      <c r="J28" s="12">
        <v>5</v>
      </c>
      <c r="K28" s="12">
        <v>3</v>
      </c>
      <c r="L28" s="12">
        <v>3</v>
      </c>
      <c r="M28" s="12">
        <v>3</v>
      </c>
      <c r="N28" s="12">
        <v>3</v>
      </c>
      <c r="O28" s="12">
        <v>3</v>
      </c>
      <c r="P28" s="12">
        <v>3</v>
      </c>
      <c r="Q28" s="12">
        <v>3</v>
      </c>
      <c r="R28" s="12">
        <v>5</v>
      </c>
      <c r="S28" s="12">
        <v>5</v>
      </c>
      <c r="T28" s="12">
        <v>5</v>
      </c>
      <c r="U28" s="12">
        <v>5</v>
      </c>
      <c r="V28" s="11">
        <f t="shared" si="0"/>
        <v>72</v>
      </c>
    </row>
    <row r="29" spans="1:22" ht="15.75">
      <c r="A29" s="10">
        <v>21</v>
      </c>
      <c r="B29" s="12">
        <v>3</v>
      </c>
      <c r="C29" s="12">
        <v>3</v>
      </c>
      <c r="D29" s="12">
        <v>3</v>
      </c>
      <c r="E29" s="12">
        <v>3</v>
      </c>
      <c r="F29" s="12">
        <v>3</v>
      </c>
      <c r="G29" s="12">
        <v>3</v>
      </c>
      <c r="H29" s="12">
        <v>3</v>
      </c>
      <c r="I29" s="12">
        <v>5</v>
      </c>
      <c r="J29" s="12">
        <v>5</v>
      </c>
      <c r="K29" s="12">
        <v>3</v>
      </c>
      <c r="L29" s="12">
        <v>3</v>
      </c>
      <c r="M29" s="12">
        <v>3</v>
      </c>
      <c r="N29" s="12">
        <v>3</v>
      </c>
      <c r="O29" s="12">
        <v>3</v>
      </c>
      <c r="P29" s="12">
        <v>3</v>
      </c>
      <c r="Q29" s="12">
        <v>3</v>
      </c>
      <c r="R29" s="12">
        <v>5</v>
      </c>
      <c r="S29" s="12">
        <v>5</v>
      </c>
      <c r="T29" s="12">
        <v>5</v>
      </c>
      <c r="U29" s="12">
        <v>5</v>
      </c>
      <c r="V29" s="11">
        <f t="shared" si="0"/>
        <v>72</v>
      </c>
    </row>
    <row r="30" spans="1:22" ht="15.75">
      <c r="A30" s="10">
        <v>22</v>
      </c>
      <c r="B30" s="11">
        <v>4</v>
      </c>
      <c r="C30" s="11">
        <v>5</v>
      </c>
      <c r="D30" s="11">
        <v>5</v>
      </c>
      <c r="E30" s="11">
        <v>5</v>
      </c>
      <c r="F30" s="11">
        <v>3</v>
      </c>
      <c r="G30" s="11">
        <v>5</v>
      </c>
      <c r="H30" s="11">
        <v>5</v>
      </c>
      <c r="I30" s="11">
        <v>4</v>
      </c>
      <c r="J30" s="11">
        <v>5</v>
      </c>
      <c r="K30" s="11">
        <v>5</v>
      </c>
      <c r="L30" s="11">
        <v>4</v>
      </c>
      <c r="M30" s="11">
        <v>5</v>
      </c>
      <c r="N30" s="11">
        <v>5</v>
      </c>
      <c r="O30" s="11">
        <v>5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f t="shared" si="0"/>
        <v>95</v>
      </c>
    </row>
    <row r="31" spans="1:22" ht="15.75">
      <c r="A31" s="10">
        <v>23</v>
      </c>
      <c r="B31" s="11">
        <v>5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1">
        <v>5</v>
      </c>
      <c r="K31" s="11">
        <v>5</v>
      </c>
      <c r="L31" s="11">
        <v>5</v>
      </c>
      <c r="M31" s="11">
        <v>5</v>
      </c>
      <c r="N31" s="11">
        <v>5</v>
      </c>
      <c r="O31" s="11">
        <v>5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f t="shared" si="0"/>
        <v>100</v>
      </c>
    </row>
    <row r="32" spans="1:22" ht="15.75">
      <c r="A32" s="10">
        <v>24</v>
      </c>
      <c r="B32" s="11">
        <v>5</v>
      </c>
      <c r="C32" s="11">
        <v>5</v>
      </c>
      <c r="D32" s="11">
        <v>5</v>
      </c>
      <c r="E32" s="11">
        <v>3</v>
      </c>
      <c r="F32" s="11">
        <v>5</v>
      </c>
      <c r="G32" s="11">
        <v>5</v>
      </c>
      <c r="H32" s="11">
        <v>5</v>
      </c>
      <c r="I32" s="11">
        <v>5</v>
      </c>
      <c r="J32" s="11">
        <v>4</v>
      </c>
      <c r="K32" s="11">
        <v>5</v>
      </c>
      <c r="L32" s="11">
        <v>4</v>
      </c>
      <c r="M32" s="11">
        <v>5</v>
      </c>
      <c r="N32" s="11">
        <v>3</v>
      </c>
      <c r="O32" s="11">
        <v>5</v>
      </c>
      <c r="P32" s="11">
        <v>5</v>
      </c>
      <c r="Q32" s="11">
        <v>5</v>
      </c>
      <c r="R32" s="11">
        <v>3</v>
      </c>
      <c r="S32" s="11">
        <v>5</v>
      </c>
      <c r="T32" s="11">
        <v>5</v>
      </c>
      <c r="U32" s="11">
        <v>5</v>
      </c>
      <c r="V32" s="11">
        <f t="shared" si="0"/>
        <v>92</v>
      </c>
    </row>
    <row r="33" spans="1:22" ht="15.75">
      <c r="A33" s="10">
        <v>25</v>
      </c>
      <c r="B33" s="11">
        <v>5</v>
      </c>
      <c r="C33" s="11">
        <v>5</v>
      </c>
      <c r="D33" s="11">
        <v>4</v>
      </c>
      <c r="E33" s="11">
        <v>5</v>
      </c>
      <c r="F33" s="11">
        <v>4</v>
      </c>
      <c r="G33" s="11">
        <v>5</v>
      </c>
      <c r="H33" s="11">
        <v>5</v>
      </c>
      <c r="I33" s="11">
        <v>5</v>
      </c>
      <c r="J33" s="11">
        <v>4</v>
      </c>
      <c r="K33" s="11">
        <v>5</v>
      </c>
      <c r="L33" s="11">
        <v>5</v>
      </c>
      <c r="M33" s="11">
        <v>4</v>
      </c>
      <c r="N33" s="11">
        <v>5</v>
      </c>
      <c r="O33" s="11">
        <v>5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f t="shared" si="0"/>
        <v>96</v>
      </c>
    </row>
    <row r="34" spans="1:22" ht="15.75">
      <c r="A34" s="10">
        <v>26</v>
      </c>
      <c r="B34" s="11">
        <v>5</v>
      </c>
      <c r="C34" s="11">
        <v>5</v>
      </c>
      <c r="D34" s="11">
        <v>5</v>
      </c>
      <c r="E34" s="11">
        <v>4</v>
      </c>
      <c r="F34" s="11">
        <v>5</v>
      </c>
      <c r="G34" s="11">
        <v>5</v>
      </c>
      <c r="H34" s="11">
        <v>5</v>
      </c>
      <c r="I34" s="11">
        <v>4</v>
      </c>
      <c r="J34" s="11">
        <v>5</v>
      </c>
      <c r="K34" s="11">
        <v>5</v>
      </c>
      <c r="L34" s="11">
        <v>5</v>
      </c>
      <c r="M34" s="11">
        <v>4</v>
      </c>
      <c r="N34" s="11">
        <v>5</v>
      </c>
      <c r="O34" s="11">
        <v>5</v>
      </c>
      <c r="P34" s="11">
        <v>5</v>
      </c>
      <c r="Q34" s="11">
        <v>4</v>
      </c>
      <c r="R34" s="11">
        <v>5</v>
      </c>
      <c r="S34" s="11">
        <v>5</v>
      </c>
      <c r="T34" s="11">
        <v>5</v>
      </c>
      <c r="U34" s="11">
        <v>5</v>
      </c>
      <c r="V34" s="11">
        <f t="shared" si="0"/>
        <v>96</v>
      </c>
    </row>
    <row r="35" spans="1:22" ht="15.75">
      <c r="A35" s="10">
        <v>27</v>
      </c>
      <c r="B35" s="11">
        <v>5</v>
      </c>
      <c r="C35" s="11">
        <v>5</v>
      </c>
      <c r="D35" s="11">
        <v>5</v>
      </c>
      <c r="E35" s="11">
        <v>3</v>
      </c>
      <c r="F35" s="11">
        <v>5</v>
      </c>
      <c r="G35" s="11">
        <v>4</v>
      </c>
      <c r="H35" s="11">
        <v>5</v>
      </c>
      <c r="I35" s="11">
        <v>4</v>
      </c>
      <c r="J35" s="11">
        <v>5</v>
      </c>
      <c r="K35" s="11">
        <v>5</v>
      </c>
      <c r="L35" s="11">
        <v>5</v>
      </c>
      <c r="M35" s="11">
        <v>4</v>
      </c>
      <c r="N35" s="11">
        <v>5</v>
      </c>
      <c r="O35" s="11">
        <v>5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f t="shared" si="0"/>
        <v>95</v>
      </c>
    </row>
    <row r="36" spans="1:22" ht="15.75">
      <c r="A36" s="10">
        <v>28</v>
      </c>
      <c r="B36" s="11">
        <v>5</v>
      </c>
      <c r="C36" s="11">
        <v>5</v>
      </c>
      <c r="D36" s="11">
        <v>5</v>
      </c>
      <c r="E36" s="11">
        <v>3</v>
      </c>
      <c r="F36" s="11">
        <v>5</v>
      </c>
      <c r="G36" s="11">
        <v>4</v>
      </c>
      <c r="H36" s="11">
        <v>5</v>
      </c>
      <c r="I36" s="11">
        <v>5</v>
      </c>
      <c r="J36" s="11">
        <v>4</v>
      </c>
      <c r="K36" s="11">
        <v>5</v>
      </c>
      <c r="L36" s="11">
        <v>5</v>
      </c>
      <c r="M36" s="11">
        <v>5</v>
      </c>
      <c r="N36" s="11">
        <v>4</v>
      </c>
      <c r="O36" s="11">
        <v>5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f t="shared" si="0"/>
        <v>95</v>
      </c>
    </row>
    <row r="37" spans="1:22" ht="15.75">
      <c r="A37" s="10">
        <v>29</v>
      </c>
      <c r="B37" s="11">
        <v>5</v>
      </c>
      <c r="C37" s="11">
        <v>5</v>
      </c>
      <c r="D37" s="11">
        <v>5</v>
      </c>
      <c r="E37" s="11">
        <v>5</v>
      </c>
      <c r="F37" s="11">
        <v>3</v>
      </c>
      <c r="G37" s="11">
        <v>5</v>
      </c>
      <c r="H37" s="11">
        <v>5</v>
      </c>
      <c r="I37" s="11">
        <v>5</v>
      </c>
      <c r="J37" s="11">
        <v>3</v>
      </c>
      <c r="K37" s="11">
        <v>5</v>
      </c>
      <c r="L37" s="11">
        <v>5</v>
      </c>
      <c r="M37" s="11">
        <v>3</v>
      </c>
      <c r="N37" s="11">
        <v>5</v>
      </c>
      <c r="O37" s="11">
        <v>3</v>
      </c>
      <c r="P37" s="11">
        <v>5</v>
      </c>
      <c r="Q37" s="11">
        <v>4</v>
      </c>
      <c r="R37" s="11">
        <v>5</v>
      </c>
      <c r="S37" s="11">
        <v>5</v>
      </c>
      <c r="T37" s="11">
        <v>5</v>
      </c>
      <c r="U37" s="11">
        <v>5</v>
      </c>
      <c r="V37" s="11">
        <f t="shared" si="0"/>
        <v>91</v>
      </c>
    </row>
    <row r="38" spans="1:22" ht="15.75">
      <c r="A38" s="10">
        <v>30</v>
      </c>
      <c r="B38" s="11">
        <v>5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4</v>
      </c>
      <c r="K38" s="11">
        <v>4</v>
      </c>
      <c r="L38" s="11">
        <v>4</v>
      </c>
      <c r="M38" s="11">
        <v>5</v>
      </c>
      <c r="N38" s="11">
        <v>5</v>
      </c>
      <c r="O38" s="11">
        <v>4</v>
      </c>
      <c r="P38" s="11">
        <v>4</v>
      </c>
      <c r="Q38" s="11">
        <v>5</v>
      </c>
      <c r="R38" s="11">
        <v>5</v>
      </c>
      <c r="S38" s="11">
        <v>4</v>
      </c>
      <c r="T38" s="11">
        <v>5</v>
      </c>
      <c r="U38" s="11">
        <v>4</v>
      </c>
      <c r="V38" s="11">
        <f t="shared" si="0"/>
        <v>93</v>
      </c>
    </row>
    <row r="39" spans="1:22" ht="15.75">
      <c r="A39" s="10">
        <v>31</v>
      </c>
      <c r="B39" s="11">
        <v>5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1">
        <v>5</v>
      </c>
      <c r="K39" s="11">
        <v>3</v>
      </c>
      <c r="L39" s="11">
        <v>5</v>
      </c>
      <c r="M39" s="11">
        <v>5</v>
      </c>
      <c r="N39" s="11">
        <v>5</v>
      </c>
      <c r="O39" s="11">
        <v>4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f t="shared" si="0"/>
        <v>96</v>
      </c>
    </row>
    <row r="40" spans="1:22" ht="15.75">
      <c r="A40" s="10">
        <v>32</v>
      </c>
      <c r="B40" s="11">
        <v>5</v>
      </c>
      <c r="C40" s="11">
        <v>5</v>
      </c>
      <c r="D40" s="11">
        <v>5</v>
      </c>
      <c r="E40" s="11">
        <v>5</v>
      </c>
      <c r="F40" s="11">
        <v>5</v>
      </c>
      <c r="G40" s="11">
        <v>4</v>
      </c>
      <c r="H40" s="11">
        <v>5</v>
      </c>
      <c r="I40" s="11">
        <v>3</v>
      </c>
      <c r="J40" s="11">
        <v>5</v>
      </c>
      <c r="K40" s="11">
        <v>4</v>
      </c>
      <c r="L40" s="11">
        <v>5</v>
      </c>
      <c r="M40" s="11">
        <v>5</v>
      </c>
      <c r="N40" s="11">
        <v>5</v>
      </c>
      <c r="O40" s="11">
        <v>5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f t="shared" si="0"/>
        <v>96</v>
      </c>
    </row>
    <row r="41" spans="1:22" ht="15.75">
      <c r="A41" s="10">
        <v>33</v>
      </c>
      <c r="B41" s="11">
        <v>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4</v>
      </c>
      <c r="J41" s="11">
        <v>5</v>
      </c>
      <c r="K41" s="11">
        <v>5</v>
      </c>
      <c r="L41" s="11">
        <v>5</v>
      </c>
      <c r="M41" s="11">
        <v>5</v>
      </c>
      <c r="N41" s="11">
        <v>5</v>
      </c>
      <c r="O41" s="11">
        <v>5</v>
      </c>
      <c r="P41" s="11">
        <v>4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f t="shared" si="0"/>
        <v>97</v>
      </c>
    </row>
    <row r="42" spans="1:22" ht="15.75">
      <c r="A42" s="10">
        <v>34</v>
      </c>
      <c r="B42" s="11">
        <v>5</v>
      </c>
      <c r="C42" s="11">
        <v>5</v>
      </c>
      <c r="D42" s="11">
        <v>5</v>
      </c>
      <c r="E42" s="11">
        <v>5</v>
      </c>
      <c r="F42" s="11">
        <v>4</v>
      </c>
      <c r="G42" s="11">
        <v>5</v>
      </c>
      <c r="H42" s="11">
        <v>5</v>
      </c>
      <c r="I42" s="11">
        <v>5</v>
      </c>
      <c r="J42" s="11">
        <v>5</v>
      </c>
      <c r="K42" s="11">
        <v>5</v>
      </c>
      <c r="L42" s="11">
        <v>5</v>
      </c>
      <c r="M42" s="11">
        <v>5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f t="shared" ref="V42:V65" si="1">SUM(B42:U42)</f>
        <v>99</v>
      </c>
    </row>
    <row r="43" spans="1:22" ht="15.75">
      <c r="A43" s="10">
        <v>35</v>
      </c>
      <c r="B43" s="11">
        <v>5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1">
        <v>5</v>
      </c>
      <c r="K43" s="11">
        <v>5</v>
      </c>
      <c r="L43" s="11">
        <v>5</v>
      </c>
      <c r="M43" s="11">
        <v>5</v>
      </c>
      <c r="N43" s="11">
        <v>5</v>
      </c>
      <c r="O43" s="11">
        <v>5</v>
      </c>
      <c r="P43" s="11">
        <v>4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f t="shared" si="1"/>
        <v>99</v>
      </c>
    </row>
    <row r="44" spans="1:22" ht="15.75">
      <c r="A44" s="10">
        <v>36</v>
      </c>
      <c r="B44" s="11">
        <v>5</v>
      </c>
      <c r="C44" s="11">
        <v>5</v>
      </c>
      <c r="D44" s="11">
        <v>5</v>
      </c>
      <c r="E44" s="11">
        <v>2</v>
      </c>
      <c r="F44" s="11">
        <v>5</v>
      </c>
      <c r="G44" s="11">
        <v>4</v>
      </c>
      <c r="H44" s="11">
        <v>5</v>
      </c>
      <c r="I44" s="11">
        <v>4</v>
      </c>
      <c r="J44" s="11">
        <v>5</v>
      </c>
      <c r="K44" s="11">
        <v>4</v>
      </c>
      <c r="L44" s="11">
        <v>5</v>
      </c>
      <c r="M44" s="11">
        <v>5</v>
      </c>
      <c r="N44" s="11">
        <v>5</v>
      </c>
      <c r="O44" s="11">
        <v>5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f t="shared" si="1"/>
        <v>94</v>
      </c>
    </row>
    <row r="45" spans="1:22" ht="15.75">
      <c r="A45" s="10">
        <v>37</v>
      </c>
      <c r="B45" s="11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1">
        <v>5</v>
      </c>
      <c r="K45" s="11">
        <v>5</v>
      </c>
      <c r="L45" s="11">
        <v>4</v>
      </c>
      <c r="M45" s="11">
        <v>5</v>
      </c>
      <c r="N45" s="11">
        <v>4</v>
      </c>
      <c r="O45" s="11">
        <v>5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f t="shared" si="1"/>
        <v>98</v>
      </c>
    </row>
    <row r="46" spans="1:22" ht="15.75">
      <c r="A46" s="10">
        <v>38</v>
      </c>
      <c r="B46" s="11">
        <v>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1">
        <v>5</v>
      </c>
      <c r="K46" s="11">
        <v>5</v>
      </c>
      <c r="L46" s="11">
        <v>4</v>
      </c>
      <c r="M46" s="11">
        <v>5</v>
      </c>
      <c r="N46" s="11">
        <v>5</v>
      </c>
      <c r="O46" s="11">
        <v>5</v>
      </c>
      <c r="P46" s="11">
        <v>4</v>
      </c>
      <c r="Q46" s="11">
        <v>4</v>
      </c>
      <c r="R46" s="11">
        <v>5</v>
      </c>
      <c r="S46" s="11">
        <v>5</v>
      </c>
      <c r="T46" s="11">
        <v>5</v>
      </c>
      <c r="U46" s="11">
        <v>5</v>
      </c>
      <c r="V46" s="11">
        <f t="shared" si="1"/>
        <v>97</v>
      </c>
    </row>
    <row r="47" spans="1:22" ht="15.75">
      <c r="A47" s="10">
        <v>39</v>
      </c>
      <c r="B47" s="11">
        <v>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1">
        <v>5</v>
      </c>
      <c r="K47" s="11">
        <v>5</v>
      </c>
      <c r="L47" s="11">
        <v>4</v>
      </c>
      <c r="M47" s="11">
        <v>5</v>
      </c>
      <c r="N47" s="11">
        <v>5</v>
      </c>
      <c r="O47" s="11">
        <v>4</v>
      </c>
      <c r="P47" s="11">
        <v>5</v>
      </c>
      <c r="Q47" s="11">
        <v>3</v>
      </c>
      <c r="R47" s="11">
        <v>5</v>
      </c>
      <c r="S47" s="11">
        <v>5</v>
      </c>
      <c r="T47" s="11">
        <v>5</v>
      </c>
      <c r="U47" s="11">
        <v>5</v>
      </c>
      <c r="V47" s="11">
        <f t="shared" si="1"/>
        <v>96</v>
      </c>
    </row>
    <row r="48" spans="1:22" ht="15.75">
      <c r="A48" s="10">
        <v>40</v>
      </c>
      <c r="B48" s="1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1">
        <v>5</v>
      </c>
      <c r="K48" s="11">
        <v>4</v>
      </c>
      <c r="L48" s="11">
        <v>5</v>
      </c>
      <c r="M48" s="11">
        <v>5</v>
      </c>
      <c r="N48" s="11">
        <v>4</v>
      </c>
      <c r="O48" s="11">
        <v>4</v>
      </c>
      <c r="P48" s="11">
        <v>5</v>
      </c>
      <c r="Q48" s="11">
        <v>3</v>
      </c>
      <c r="R48" s="11">
        <v>5</v>
      </c>
      <c r="S48" s="11">
        <v>4</v>
      </c>
      <c r="T48" s="11">
        <v>5</v>
      </c>
      <c r="U48" s="11">
        <v>5</v>
      </c>
      <c r="V48" s="11">
        <f t="shared" si="1"/>
        <v>94</v>
      </c>
    </row>
    <row r="49" spans="1:22" ht="15.75">
      <c r="A49" s="10">
        <v>41</v>
      </c>
      <c r="B49" s="11">
        <v>5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1">
        <v>5</v>
      </c>
      <c r="K49" s="11">
        <v>5</v>
      </c>
      <c r="L49" s="11">
        <v>5</v>
      </c>
      <c r="M49" s="11">
        <v>5</v>
      </c>
      <c r="N49" s="11">
        <v>5</v>
      </c>
      <c r="O49" s="11">
        <v>5</v>
      </c>
      <c r="P49" s="11">
        <v>3</v>
      </c>
      <c r="Q49" s="11">
        <v>5</v>
      </c>
      <c r="R49" s="11">
        <v>4</v>
      </c>
      <c r="S49" s="11">
        <v>5</v>
      </c>
      <c r="T49" s="11">
        <v>3</v>
      </c>
      <c r="U49" s="11">
        <v>5</v>
      </c>
      <c r="V49" s="11">
        <f t="shared" si="1"/>
        <v>95</v>
      </c>
    </row>
    <row r="50" spans="1:22" ht="15.75">
      <c r="A50" s="10">
        <v>42</v>
      </c>
      <c r="B50" s="11">
        <v>5</v>
      </c>
      <c r="C50" s="11">
        <v>5</v>
      </c>
      <c r="D50" s="11">
        <v>4</v>
      </c>
      <c r="E50" s="11">
        <v>5</v>
      </c>
      <c r="F50" s="11">
        <v>4</v>
      </c>
      <c r="G50" s="11">
        <v>5</v>
      </c>
      <c r="H50" s="11">
        <v>4</v>
      </c>
      <c r="I50" s="11">
        <v>5</v>
      </c>
      <c r="J50" s="11">
        <v>4</v>
      </c>
      <c r="K50" s="11">
        <v>5</v>
      </c>
      <c r="L50" s="11">
        <v>5</v>
      </c>
      <c r="M50" s="11">
        <v>5</v>
      </c>
      <c r="N50" s="11">
        <v>5</v>
      </c>
      <c r="O50" s="11">
        <v>5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f t="shared" si="1"/>
        <v>96</v>
      </c>
    </row>
    <row r="51" spans="1:22" ht="15.75">
      <c r="A51" s="10">
        <v>43</v>
      </c>
      <c r="B51" s="11">
        <v>5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4</v>
      </c>
      <c r="J51" s="11">
        <v>5</v>
      </c>
      <c r="K51" s="11">
        <v>4</v>
      </c>
      <c r="L51" s="11">
        <v>4</v>
      </c>
      <c r="M51" s="11">
        <v>4</v>
      </c>
      <c r="N51" s="11">
        <v>4</v>
      </c>
      <c r="O51" s="11">
        <v>4</v>
      </c>
      <c r="P51" s="11">
        <v>4</v>
      </c>
      <c r="Q51" s="11">
        <v>4</v>
      </c>
      <c r="R51" s="11">
        <v>4</v>
      </c>
      <c r="S51" s="11">
        <v>4</v>
      </c>
      <c r="T51" s="11">
        <v>4</v>
      </c>
      <c r="U51" s="11">
        <v>4</v>
      </c>
      <c r="V51" s="11">
        <f t="shared" si="1"/>
        <v>88</v>
      </c>
    </row>
    <row r="52" spans="1:22" ht="15.75">
      <c r="A52" s="10">
        <v>44</v>
      </c>
      <c r="B52" s="11">
        <v>4</v>
      </c>
      <c r="C52" s="11">
        <v>5</v>
      </c>
      <c r="D52" s="11">
        <v>4</v>
      </c>
      <c r="E52" s="11">
        <v>3</v>
      </c>
      <c r="F52" s="11">
        <v>5</v>
      </c>
      <c r="G52" s="11">
        <v>4</v>
      </c>
      <c r="H52" s="11">
        <v>5</v>
      </c>
      <c r="I52" s="11">
        <v>5</v>
      </c>
      <c r="J52" s="11">
        <v>5</v>
      </c>
      <c r="K52" s="11">
        <v>5</v>
      </c>
      <c r="L52" s="11">
        <v>4</v>
      </c>
      <c r="M52" s="11">
        <v>5</v>
      </c>
      <c r="N52" s="11">
        <v>4</v>
      </c>
      <c r="O52" s="11">
        <v>5</v>
      </c>
      <c r="P52" s="11">
        <v>3</v>
      </c>
      <c r="Q52" s="11">
        <v>2</v>
      </c>
      <c r="R52" s="11">
        <v>5</v>
      </c>
      <c r="S52" s="11">
        <v>5</v>
      </c>
      <c r="T52" s="11">
        <v>5</v>
      </c>
      <c r="U52" s="11">
        <v>5</v>
      </c>
      <c r="V52" s="11">
        <f t="shared" si="1"/>
        <v>88</v>
      </c>
    </row>
    <row r="53" spans="1:22" ht="15.75">
      <c r="A53" s="10">
        <v>45</v>
      </c>
      <c r="B53" s="11">
        <v>5</v>
      </c>
      <c r="C53" s="11">
        <v>5</v>
      </c>
      <c r="D53" s="11">
        <v>5</v>
      </c>
      <c r="E53" s="11">
        <v>3</v>
      </c>
      <c r="F53" s="11">
        <v>5</v>
      </c>
      <c r="G53" s="11">
        <v>3</v>
      </c>
      <c r="H53" s="11">
        <v>4</v>
      </c>
      <c r="I53" s="11">
        <v>4</v>
      </c>
      <c r="J53" s="11">
        <v>4</v>
      </c>
      <c r="K53" s="11">
        <v>5</v>
      </c>
      <c r="L53" s="11">
        <v>5</v>
      </c>
      <c r="M53" s="11">
        <v>3</v>
      </c>
      <c r="N53" s="11">
        <v>5</v>
      </c>
      <c r="O53" s="11">
        <v>5</v>
      </c>
      <c r="P53" s="11">
        <v>4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f t="shared" si="1"/>
        <v>90</v>
      </c>
    </row>
    <row r="54" spans="1:22" ht="15.75">
      <c r="A54" s="10">
        <v>46</v>
      </c>
      <c r="B54" s="11">
        <v>5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1">
        <v>5</v>
      </c>
      <c r="K54" s="11">
        <v>5</v>
      </c>
      <c r="L54" s="11">
        <v>4</v>
      </c>
      <c r="M54" s="11">
        <v>4</v>
      </c>
      <c r="N54" s="11">
        <v>4</v>
      </c>
      <c r="O54" s="11">
        <v>4</v>
      </c>
      <c r="P54" s="11">
        <v>4</v>
      </c>
      <c r="Q54" s="11">
        <v>4</v>
      </c>
      <c r="R54" s="11">
        <v>4</v>
      </c>
      <c r="S54" s="11">
        <v>4</v>
      </c>
      <c r="T54" s="11">
        <v>4</v>
      </c>
      <c r="U54" s="11">
        <v>5</v>
      </c>
      <c r="V54" s="11">
        <f t="shared" si="1"/>
        <v>91</v>
      </c>
    </row>
    <row r="55" spans="1:22" ht="15.75">
      <c r="A55" s="10">
        <v>47</v>
      </c>
      <c r="B55" s="11">
        <v>5</v>
      </c>
      <c r="C55" s="11">
        <v>5</v>
      </c>
      <c r="D55" s="11">
        <v>4</v>
      </c>
      <c r="E55" s="11">
        <v>5</v>
      </c>
      <c r="F55" s="11">
        <v>3</v>
      </c>
      <c r="G55" s="11">
        <v>4</v>
      </c>
      <c r="H55" s="11">
        <v>3</v>
      </c>
      <c r="I55" s="11">
        <v>4</v>
      </c>
      <c r="J55" s="11">
        <v>5</v>
      </c>
      <c r="K55" s="11">
        <v>5</v>
      </c>
      <c r="L55" s="11">
        <v>4</v>
      </c>
      <c r="M55" s="11">
        <v>5</v>
      </c>
      <c r="N55" s="11">
        <v>5</v>
      </c>
      <c r="O55" s="11">
        <v>3</v>
      </c>
      <c r="P55" s="11">
        <v>5</v>
      </c>
      <c r="Q55" s="11">
        <v>4</v>
      </c>
      <c r="R55" s="11">
        <v>5</v>
      </c>
      <c r="S55" s="11">
        <v>4</v>
      </c>
      <c r="T55" s="11">
        <v>3</v>
      </c>
      <c r="U55" s="11">
        <v>4</v>
      </c>
      <c r="V55" s="11">
        <f t="shared" si="1"/>
        <v>85</v>
      </c>
    </row>
    <row r="56" spans="1:22" ht="15.75">
      <c r="A56" s="10">
        <v>48</v>
      </c>
      <c r="B56" s="11">
        <v>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1">
        <v>5</v>
      </c>
      <c r="K56" s="11">
        <v>5</v>
      </c>
      <c r="L56" s="11">
        <v>5</v>
      </c>
      <c r="M56" s="11">
        <v>5</v>
      </c>
      <c r="N56" s="11">
        <v>4</v>
      </c>
      <c r="O56" s="11">
        <v>4</v>
      </c>
      <c r="P56" s="11">
        <v>4</v>
      </c>
      <c r="Q56" s="11">
        <v>4</v>
      </c>
      <c r="R56" s="11">
        <v>4</v>
      </c>
      <c r="S56" s="11">
        <v>4</v>
      </c>
      <c r="T56" s="11">
        <v>4</v>
      </c>
      <c r="U56" s="11">
        <v>4</v>
      </c>
      <c r="V56" s="11">
        <f t="shared" si="1"/>
        <v>92</v>
      </c>
    </row>
    <row r="57" spans="1:22" ht="15.75">
      <c r="A57" s="10">
        <v>49</v>
      </c>
      <c r="B57" s="11">
        <v>5</v>
      </c>
      <c r="C57" s="11">
        <v>4</v>
      </c>
      <c r="D57" s="11">
        <v>3</v>
      </c>
      <c r="E57" s="11">
        <v>3</v>
      </c>
      <c r="F57" s="11">
        <v>5</v>
      </c>
      <c r="G57" s="11">
        <v>4</v>
      </c>
      <c r="H57" s="11">
        <v>3</v>
      </c>
      <c r="I57" s="11">
        <v>4</v>
      </c>
      <c r="J57" s="11">
        <v>4</v>
      </c>
      <c r="K57" s="11">
        <v>5</v>
      </c>
      <c r="L57" s="11">
        <v>5</v>
      </c>
      <c r="M57" s="11">
        <v>4</v>
      </c>
      <c r="N57" s="11">
        <v>5</v>
      </c>
      <c r="O57" s="11">
        <v>4</v>
      </c>
      <c r="P57" s="11">
        <v>5</v>
      </c>
      <c r="Q57" s="11">
        <v>5</v>
      </c>
      <c r="R57" s="11">
        <v>4</v>
      </c>
      <c r="S57" s="11">
        <v>4</v>
      </c>
      <c r="T57" s="11">
        <v>4</v>
      </c>
      <c r="U57" s="11">
        <v>5</v>
      </c>
      <c r="V57" s="11">
        <f t="shared" si="1"/>
        <v>85</v>
      </c>
    </row>
    <row r="58" spans="1:22" ht="15.75">
      <c r="A58" s="10">
        <v>50</v>
      </c>
      <c r="B58" s="11">
        <v>5</v>
      </c>
      <c r="C58" s="11">
        <v>5</v>
      </c>
      <c r="D58" s="11">
        <v>5</v>
      </c>
      <c r="E58" s="11">
        <v>5</v>
      </c>
      <c r="F58" s="11">
        <v>5</v>
      </c>
      <c r="G58" s="11">
        <v>3</v>
      </c>
      <c r="H58" s="11">
        <v>5</v>
      </c>
      <c r="I58" s="11">
        <v>4</v>
      </c>
      <c r="J58" s="11">
        <v>4</v>
      </c>
      <c r="K58" s="11">
        <v>4</v>
      </c>
      <c r="L58" s="11">
        <v>5</v>
      </c>
      <c r="M58" s="11">
        <v>4</v>
      </c>
      <c r="N58" s="11">
        <v>5</v>
      </c>
      <c r="O58" s="11">
        <v>5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f t="shared" si="1"/>
        <v>94</v>
      </c>
    </row>
    <row r="59" spans="1:22" ht="15.75">
      <c r="A59" s="10">
        <v>51</v>
      </c>
      <c r="B59" s="11">
        <v>4</v>
      </c>
      <c r="C59" s="11">
        <v>5</v>
      </c>
      <c r="D59" s="11">
        <v>5</v>
      </c>
      <c r="E59" s="11">
        <v>4</v>
      </c>
      <c r="F59" s="11">
        <v>5</v>
      </c>
      <c r="G59" s="11">
        <v>5</v>
      </c>
      <c r="H59" s="11">
        <v>5</v>
      </c>
      <c r="I59" s="11">
        <v>4</v>
      </c>
      <c r="J59" s="11">
        <v>4</v>
      </c>
      <c r="K59" s="11">
        <v>4</v>
      </c>
      <c r="L59" s="11">
        <v>5</v>
      </c>
      <c r="M59" s="11">
        <v>3</v>
      </c>
      <c r="N59" s="11">
        <v>4</v>
      </c>
      <c r="O59" s="11">
        <v>5</v>
      </c>
      <c r="P59" s="11">
        <v>5</v>
      </c>
      <c r="Q59" s="11">
        <v>4</v>
      </c>
      <c r="R59" s="11">
        <v>4</v>
      </c>
      <c r="S59" s="11">
        <v>5</v>
      </c>
      <c r="T59" s="11">
        <v>3</v>
      </c>
      <c r="U59" s="11">
        <v>4</v>
      </c>
      <c r="V59" s="11">
        <f t="shared" si="1"/>
        <v>87</v>
      </c>
    </row>
    <row r="60" spans="1:22" ht="15.75">
      <c r="A60" s="10">
        <v>52</v>
      </c>
      <c r="B60" s="11">
        <v>5</v>
      </c>
      <c r="C60" s="11">
        <v>5</v>
      </c>
      <c r="D60" s="11">
        <v>4</v>
      </c>
      <c r="E60" s="11">
        <v>5</v>
      </c>
      <c r="F60" s="11">
        <v>5</v>
      </c>
      <c r="G60" s="11">
        <v>5</v>
      </c>
      <c r="H60" s="11">
        <v>4</v>
      </c>
      <c r="I60" s="11">
        <v>5</v>
      </c>
      <c r="J60" s="11">
        <v>5</v>
      </c>
      <c r="K60" s="11">
        <v>5</v>
      </c>
      <c r="L60" s="11">
        <v>5</v>
      </c>
      <c r="M60" s="11">
        <v>5</v>
      </c>
      <c r="N60" s="11">
        <v>5</v>
      </c>
      <c r="O60" s="11">
        <v>4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f t="shared" si="1"/>
        <v>97</v>
      </c>
    </row>
    <row r="61" spans="1:22" ht="15.75">
      <c r="A61" s="10">
        <v>53</v>
      </c>
      <c r="B61" s="11">
        <v>4</v>
      </c>
      <c r="C61" s="11">
        <v>5</v>
      </c>
      <c r="D61" s="11">
        <v>3</v>
      </c>
      <c r="E61" s="11">
        <v>5</v>
      </c>
      <c r="F61" s="11">
        <v>4</v>
      </c>
      <c r="G61" s="11">
        <v>5</v>
      </c>
      <c r="H61" s="11">
        <v>5</v>
      </c>
      <c r="I61" s="11">
        <v>4</v>
      </c>
      <c r="J61" s="11">
        <v>5</v>
      </c>
      <c r="K61" s="11">
        <v>3</v>
      </c>
      <c r="L61" s="11">
        <v>4</v>
      </c>
      <c r="M61" s="11">
        <v>5</v>
      </c>
      <c r="N61" s="11">
        <v>4</v>
      </c>
      <c r="O61" s="11">
        <v>5</v>
      </c>
      <c r="P61" s="11">
        <v>5</v>
      </c>
      <c r="Q61" s="11">
        <v>4</v>
      </c>
      <c r="R61" s="11">
        <v>5</v>
      </c>
      <c r="S61" s="11">
        <v>5</v>
      </c>
      <c r="T61" s="11">
        <v>3</v>
      </c>
      <c r="U61" s="11">
        <v>5</v>
      </c>
      <c r="V61" s="11">
        <f t="shared" si="1"/>
        <v>88</v>
      </c>
    </row>
    <row r="62" spans="1:22" ht="15.75">
      <c r="A62" s="10">
        <v>54</v>
      </c>
      <c r="B62" s="11">
        <v>5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1">
        <v>5</v>
      </c>
      <c r="K62" s="11">
        <v>5</v>
      </c>
      <c r="L62" s="11">
        <v>5</v>
      </c>
      <c r="M62" s="11">
        <v>5</v>
      </c>
      <c r="N62" s="11">
        <v>5</v>
      </c>
      <c r="O62" s="11">
        <v>4</v>
      </c>
      <c r="P62" s="11">
        <v>5</v>
      </c>
      <c r="Q62" s="11">
        <v>5</v>
      </c>
      <c r="R62" s="11">
        <v>4</v>
      </c>
      <c r="S62" s="11">
        <v>5</v>
      </c>
      <c r="T62" s="11">
        <v>5</v>
      </c>
      <c r="U62" s="11">
        <v>5</v>
      </c>
      <c r="V62" s="11">
        <f t="shared" si="1"/>
        <v>98</v>
      </c>
    </row>
    <row r="63" spans="1:22" ht="15.75">
      <c r="A63" s="10">
        <v>55</v>
      </c>
      <c r="B63" s="11">
        <v>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4</v>
      </c>
      <c r="I63" s="11">
        <v>5</v>
      </c>
      <c r="J63" s="11">
        <v>4</v>
      </c>
      <c r="K63" s="11">
        <v>5</v>
      </c>
      <c r="L63" s="11">
        <v>5</v>
      </c>
      <c r="M63" s="11">
        <v>5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f t="shared" si="1"/>
        <v>97</v>
      </c>
    </row>
    <row r="64" spans="1:22" ht="15.75">
      <c r="A64" s="10">
        <v>56</v>
      </c>
      <c r="B64" s="11">
        <v>5</v>
      </c>
      <c r="C64" s="11">
        <v>5</v>
      </c>
      <c r="D64" s="11">
        <v>5</v>
      </c>
      <c r="E64" s="11">
        <v>5</v>
      </c>
      <c r="F64" s="11">
        <v>4</v>
      </c>
      <c r="G64" s="11">
        <v>5</v>
      </c>
      <c r="H64" s="11">
        <v>5</v>
      </c>
      <c r="I64" s="11">
        <v>5</v>
      </c>
      <c r="J64" s="11">
        <v>5</v>
      </c>
      <c r="K64" s="11">
        <v>5</v>
      </c>
      <c r="L64" s="11">
        <v>5</v>
      </c>
      <c r="M64" s="11">
        <v>5</v>
      </c>
      <c r="N64" s="11">
        <v>4</v>
      </c>
      <c r="O64" s="11">
        <v>5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f t="shared" si="1"/>
        <v>98</v>
      </c>
    </row>
    <row r="65" spans="1:23" ht="15.75">
      <c r="A65" s="10">
        <v>57</v>
      </c>
      <c r="B65" s="11">
        <v>5</v>
      </c>
      <c r="C65" s="11">
        <v>5</v>
      </c>
      <c r="D65" s="11">
        <v>5</v>
      </c>
      <c r="E65" s="11">
        <v>5</v>
      </c>
      <c r="F65" s="11">
        <v>4</v>
      </c>
      <c r="G65" s="11">
        <v>5</v>
      </c>
      <c r="H65" s="11">
        <v>5</v>
      </c>
      <c r="I65" s="11">
        <v>5</v>
      </c>
      <c r="J65" s="11">
        <v>5</v>
      </c>
      <c r="K65" s="11">
        <v>5</v>
      </c>
      <c r="L65" s="11">
        <v>5</v>
      </c>
      <c r="M65" s="11">
        <v>4</v>
      </c>
      <c r="N65" s="11">
        <v>5</v>
      </c>
      <c r="O65" s="11">
        <v>5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f t="shared" si="1"/>
        <v>98</v>
      </c>
      <c r="W65"/>
    </row>
    <row r="66" spans="1:23" ht="15.75">
      <c r="A66" s="13"/>
      <c r="B66" s="11">
        <f>SUM(B9:B65)</f>
        <v>268</v>
      </c>
      <c r="C66" s="11">
        <v>285</v>
      </c>
      <c r="D66" s="11">
        <v>286</v>
      </c>
      <c r="E66" s="11">
        <v>287</v>
      </c>
      <c r="F66" s="11">
        <v>288</v>
      </c>
      <c r="G66" s="11">
        <v>289</v>
      </c>
      <c r="H66" s="11">
        <v>290</v>
      </c>
      <c r="I66" s="11">
        <v>291</v>
      </c>
      <c r="J66" s="11">
        <v>292</v>
      </c>
      <c r="K66" s="11">
        <v>293</v>
      </c>
      <c r="L66" s="11">
        <v>294</v>
      </c>
      <c r="M66" s="11">
        <v>295</v>
      </c>
      <c r="N66" s="11">
        <v>296</v>
      </c>
      <c r="O66" s="11">
        <v>297</v>
      </c>
      <c r="P66" s="11">
        <v>298</v>
      </c>
      <c r="Q66" s="11">
        <v>299</v>
      </c>
      <c r="R66" s="11">
        <v>300</v>
      </c>
      <c r="S66" s="11">
        <v>301</v>
      </c>
      <c r="T66" s="11">
        <v>302</v>
      </c>
      <c r="U66" s="11">
        <v>303</v>
      </c>
      <c r="V66" s="12">
        <v>5621</v>
      </c>
      <c r="W66" s="14"/>
    </row>
    <row r="67" spans="1:23" ht="15.75">
      <c r="A67" s="13"/>
      <c r="B67" s="15">
        <f>AVERAGE(B9:B65)</f>
        <v>4.70175438596491</v>
      </c>
      <c r="C67" s="15">
        <f t="shared" ref="C67:T67" si="2">AVERAGE(C9:C65)</f>
        <v>4.7543859649122799</v>
      </c>
      <c r="D67" s="15">
        <f t="shared" si="2"/>
        <v>4.6140350877192997</v>
      </c>
      <c r="E67" s="15">
        <f t="shared" si="2"/>
        <v>4.45614035087719</v>
      </c>
      <c r="F67" s="15">
        <f t="shared" si="2"/>
        <v>4.5263157894736796</v>
      </c>
      <c r="G67" s="15">
        <f t="shared" si="2"/>
        <v>4.5789473684210504</v>
      </c>
      <c r="H67" s="15">
        <f t="shared" si="2"/>
        <v>4.59649122807018</v>
      </c>
      <c r="I67" s="15">
        <f t="shared" si="2"/>
        <v>4.7192982456140404</v>
      </c>
      <c r="J67" s="15">
        <f t="shared" si="2"/>
        <v>4.70175438596491</v>
      </c>
      <c r="K67" s="15">
        <f t="shared" si="2"/>
        <v>4.59649122807018</v>
      </c>
      <c r="L67" s="15">
        <f t="shared" si="2"/>
        <v>4.59649122807018</v>
      </c>
      <c r="M67" s="15">
        <f t="shared" si="2"/>
        <v>4.5263157894736796</v>
      </c>
      <c r="N67" s="15">
        <f t="shared" si="2"/>
        <v>4.5087719298245599</v>
      </c>
      <c r="O67" s="15">
        <f t="shared" si="2"/>
        <v>4.4912280701754401</v>
      </c>
      <c r="P67" s="15">
        <f t="shared" si="2"/>
        <v>4.5614035087719298</v>
      </c>
      <c r="Q67" s="15">
        <f t="shared" si="2"/>
        <v>4.45614035087719</v>
      </c>
      <c r="R67" s="15">
        <f t="shared" si="2"/>
        <v>4.7894736842105301</v>
      </c>
      <c r="S67" s="15">
        <f t="shared" si="2"/>
        <v>4.8070175438596499</v>
      </c>
      <c r="T67" s="15">
        <f t="shared" si="2"/>
        <v>4.7192982456140404</v>
      </c>
      <c r="U67" s="15">
        <f>AVERAGE(B67:T67)</f>
        <v>4.6158818097876297</v>
      </c>
      <c r="V67" s="16">
        <f>AVERAGE(B67:U67)</f>
        <v>4.6158818097876297</v>
      </c>
      <c r="W67"/>
    </row>
    <row r="68" spans="1:23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9"/>
      <c r="U68" s="19"/>
      <c r="V68" s="17"/>
      <c r="W68"/>
    </row>
    <row r="69" spans="1:23">
      <c r="A69" s="99" t="s">
        <v>8</v>
      </c>
      <c r="B69" s="20">
        <v>1.1000000000000001</v>
      </c>
      <c r="C69" s="20">
        <v>1.2</v>
      </c>
      <c r="D69" s="20">
        <v>1.3</v>
      </c>
      <c r="E69" s="20">
        <v>1.4</v>
      </c>
      <c r="F69" s="20">
        <v>1.5</v>
      </c>
      <c r="G69" s="20">
        <v>2.1</v>
      </c>
      <c r="H69" s="20">
        <v>2.2000000000000002</v>
      </c>
      <c r="I69" s="20">
        <v>2.2999999999999998</v>
      </c>
      <c r="J69" s="20">
        <v>2.4</v>
      </c>
      <c r="K69" s="20">
        <v>2.5</v>
      </c>
      <c r="L69" s="20">
        <v>3.1</v>
      </c>
      <c r="M69" s="20">
        <v>3.2</v>
      </c>
      <c r="N69" s="20">
        <v>3.3</v>
      </c>
      <c r="O69" s="20">
        <v>3.4</v>
      </c>
      <c r="P69" s="20">
        <v>3.5</v>
      </c>
      <c r="Q69" s="20">
        <v>4.0999999999999996</v>
      </c>
      <c r="R69" s="20">
        <v>4.2</v>
      </c>
      <c r="S69" s="20">
        <v>4.3</v>
      </c>
      <c r="T69" s="20">
        <v>4.4000000000000004</v>
      </c>
      <c r="U69" s="20">
        <v>4.5</v>
      </c>
      <c r="V69" s="102" t="s">
        <v>7</v>
      </c>
      <c r="W69"/>
    </row>
    <row r="70" spans="1:23">
      <c r="A70" s="100"/>
      <c r="B70" s="89" t="s">
        <v>9</v>
      </c>
      <c r="C70" s="89"/>
      <c r="D70" s="89"/>
      <c r="E70" s="89"/>
      <c r="F70" s="89"/>
      <c r="G70" s="90" t="s">
        <v>10</v>
      </c>
      <c r="H70" s="90"/>
      <c r="I70" s="90"/>
      <c r="J70" s="90"/>
      <c r="K70" s="90"/>
      <c r="L70" s="90" t="s">
        <v>11</v>
      </c>
      <c r="M70" s="90"/>
      <c r="N70" s="90"/>
      <c r="O70" s="90"/>
      <c r="P70" s="90"/>
      <c r="Q70" s="90" t="s">
        <v>12</v>
      </c>
      <c r="R70" s="90"/>
      <c r="S70" s="90"/>
      <c r="T70" s="90"/>
      <c r="U70" s="90"/>
      <c r="V70" s="103"/>
      <c r="W70"/>
    </row>
    <row r="71" spans="1:23" ht="15.75">
      <c r="A71" s="101"/>
      <c r="B71" s="21">
        <v>4.70175438596491</v>
      </c>
      <c r="C71" s="21">
        <v>4.7543859649122799</v>
      </c>
      <c r="D71" s="21">
        <v>4.6140350877192997</v>
      </c>
      <c r="E71" s="21">
        <v>4.45614035087719</v>
      </c>
      <c r="F71" s="21">
        <v>4.5263157894736796</v>
      </c>
      <c r="G71" s="21">
        <v>4.5789473684210504</v>
      </c>
      <c r="H71" s="21">
        <v>4.59649122807018</v>
      </c>
      <c r="I71" s="21">
        <v>4.7192982456140404</v>
      </c>
      <c r="J71" s="21">
        <v>4.70175438596491</v>
      </c>
      <c r="K71" s="21">
        <v>4.59649122807018</v>
      </c>
      <c r="L71" s="21">
        <v>4.59649122807018</v>
      </c>
      <c r="M71" s="21">
        <v>4.5263157894736796</v>
      </c>
      <c r="N71" s="21">
        <v>4.5087719298245599</v>
      </c>
      <c r="O71" s="21">
        <v>4.4912280701754401</v>
      </c>
      <c r="P71" s="21">
        <v>4.5614035087719298</v>
      </c>
      <c r="Q71" s="21">
        <v>4.45614035087719</v>
      </c>
      <c r="R71" s="21">
        <v>4.7894736842105301</v>
      </c>
      <c r="S71" s="21">
        <v>4.8070175438596499</v>
      </c>
      <c r="T71" s="21">
        <v>4.7192982456140404</v>
      </c>
      <c r="U71" s="21">
        <v>4.6158818097876297</v>
      </c>
      <c r="V71" s="22">
        <v>4.62</v>
      </c>
      <c r="W71"/>
    </row>
    <row r="72" spans="1:23">
      <c r="A72" s="92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2"/>
      <c r="W72"/>
    </row>
    <row r="73" spans="1:23" ht="45.75">
      <c r="A73" s="23" t="s">
        <v>13</v>
      </c>
      <c r="B73" s="24">
        <v>1.1000000000000001</v>
      </c>
      <c r="C73" s="24">
        <v>1.2</v>
      </c>
      <c r="D73" s="24">
        <v>1.3</v>
      </c>
      <c r="E73" s="24">
        <v>1.4</v>
      </c>
      <c r="F73" s="24">
        <v>1.5</v>
      </c>
      <c r="G73" s="24">
        <v>2.1</v>
      </c>
      <c r="H73" s="24">
        <v>2.2000000000000002</v>
      </c>
      <c r="I73" s="24">
        <v>2.2999999999999998</v>
      </c>
      <c r="J73" s="24">
        <v>2.4</v>
      </c>
      <c r="K73" s="24">
        <v>2.5</v>
      </c>
      <c r="L73" s="24">
        <v>3.1</v>
      </c>
      <c r="M73" s="24">
        <v>3.2</v>
      </c>
      <c r="N73" s="24">
        <v>3.3</v>
      </c>
      <c r="O73" s="24">
        <v>3.4</v>
      </c>
      <c r="P73" s="24">
        <v>3.5</v>
      </c>
      <c r="Q73" s="24">
        <v>4.0999999999999996</v>
      </c>
      <c r="R73" s="24">
        <v>4.2</v>
      </c>
      <c r="S73" s="24">
        <v>4.3</v>
      </c>
      <c r="T73" s="24">
        <v>4.4000000000000004</v>
      </c>
      <c r="U73" s="24">
        <v>4.5</v>
      </c>
      <c r="V73" s="24" t="s">
        <v>6</v>
      </c>
      <c r="W73"/>
    </row>
    <row r="74" spans="1:23">
      <c r="A74" s="20">
        <v>5</v>
      </c>
      <c r="B74" s="25">
        <f>COUNTIF(B9:B65,5)</f>
        <v>45</v>
      </c>
      <c r="C74" s="25">
        <f t="shared" ref="C74:U74" si="3">COUNTIF(C9:C65,5)</f>
        <v>49</v>
      </c>
      <c r="D74" s="25">
        <f t="shared" si="3"/>
        <v>43</v>
      </c>
      <c r="E74" s="25">
        <f t="shared" si="3"/>
        <v>41</v>
      </c>
      <c r="F74" s="25">
        <f t="shared" si="3"/>
        <v>40</v>
      </c>
      <c r="G74" s="25">
        <f t="shared" si="3"/>
        <v>41</v>
      </c>
      <c r="H74" s="25">
        <f t="shared" si="3"/>
        <v>42</v>
      </c>
      <c r="I74" s="25">
        <f t="shared" si="3"/>
        <v>42</v>
      </c>
      <c r="J74" s="25">
        <f t="shared" si="3"/>
        <v>42</v>
      </c>
      <c r="K74" s="25">
        <f t="shared" si="3"/>
        <v>41</v>
      </c>
      <c r="L74" s="25">
        <f t="shared" si="3"/>
        <v>39</v>
      </c>
      <c r="M74" s="25">
        <f t="shared" si="3"/>
        <v>38</v>
      </c>
      <c r="N74" s="25">
        <f t="shared" si="3"/>
        <v>35</v>
      </c>
      <c r="O74" s="25">
        <f t="shared" si="3"/>
        <v>35</v>
      </c>
      <c r="P74" s="25">
        <f t="shared" si="3"/>
        <v>39</v>
      </c>
      <c r="Q74" s="25">
        <f t="shared" si="3"/>
        <v>35</v>
      </c>
      <c r="R74" s="25">
        <f t="shared" si="3"/>
        <v>46</v>
      </c>
      <c r="S74" s="25">
        <f t="shared" si="3"/>
        <v>46</v>
      </c>
      <c r="T74" s="25">
        <f t="shared" si="3"/>
        <v>45</v>
      </c>
      <c r="U74" s="25">
        <f t="shared" si="3"/>
        <v>50</v>
      </c>
      <c r="V74" s="25">
        <f>SUM(B74:U74)</f>
        <v>834</v>
      </c>
      <c r="W74"/>
    </row>
    <row r="75" spans="1:23">
      <c r="A75" s="20">
        <v>4</v>
      </c>
      <c r="B75" s="25">
        <f>COUNTIF(B9:B65,4)</f>
        <v>7</v>
      </c>
      <c r="C75" s="25">
        <f t="shared" ref="C75:U75" si="4">COUNTIF(C9:C65,4)</f>
        <v>2</v>
      </c>
      <c r="D75" s="25">
        <f t="shared" si="4"/>
        <v>6</v>
      </c>
      <c r="E75" s="25">
        <f t="shared" si="4"/>
        <v>2</v>
      </c>
      <c r="F75" s="25">
        <f t="shared" si="4"/>
        <v>7</v>
      </c>
      <c r="G75" s="25">
        <f t="shared" si="4"/>
        <v>8</v>
      </c>
      <c r="H75" s="25">
        <f t="shared" si="4"/>
        <v>7</v>
      </c>
      <c r="I75" s="25">
        <f t="shared" si="4"/>
        <v>14</v>
      </c>
      <c r="J75" s="25">
        <f t="shared" si="4"/>
        <v>13</v>
      </c>
      <c r="K75" s="25">
        <f t="shared" si="4"/>
        <v>9</v>
      </c>
      <c r="L75" s="25">
        <f t="shared" si="4"/>
        <v>13</v>
      </c>
      <c r="M75" s="25">
        <f t="shared" si="4"/>
        <v>11</v>
      </c>
      <c r="N75" s="25">
        <f t="shared" si="4"/>
        <v>16</v>
      </c>
      <c r="O75" s="25">
        <f t="shared" si="4"/>
        <v>15</v>
      </c>
      <c r="P75" s="25">
        <f t="shared" si="4"/>
        <v>11</v>
      </c>
      <c r="Q75" s="25">
        <f t="shared" si="4"/>
        <v>14</v>
      </c>
      <c r="R75" s="25">
        <f t="shared" si="4"/>
        <v>10</v>
      </c>
      <c r="S75" s="25">
        <f t="shared" si="4"/>
        <v>11</v>
      </c>
      <c r="T75" s="25">
        <f t="shared" si="4"/>
        <v>8</v>
      </c>
      <c r="U75" s="25">
        <f t="shared" si="4"/>
        <v>7</v>
      </c>
      <c r="V75" s="25">
        <f>SUM(B75:U75)</f>
        <v>191</v>
      </c>
      <c r="W75"/>
    </row>
    <row r="76" spans="1:23">
      <c r="A76" s="20">
        <v>3</v>
      </c>
      <c r="B76" s="25">
        <f>COUNTIF(B9:B65,3)</f>
        <v>5</v>
      </c>
      <c r="C76" s="25">
        <f t="shared" ref="C76:U76" si="5">COUNTIF(C9:C65,3)</f>
        <v>6</v>
      </c>
      <c r="D76" s="25">
        <f t="shared" si="5"/>
        <v>8</v>
      </c>
      <c r="E76" s="25">
        <f t="shared" si="5"/>
        <v>13</v>
      </c>
      <c r="F76" s="25">
        <f t="shared" si="5"/>
        <v>10</v>
      </c>
      <c r="G76" s="25">
        <f t="shared" si="5"/>
        <v>8</v>
      </c>
      <c r="H76" s="25">
        <f t="shared" si="5"/>
        <v>8</v>
      </c>
      <c r="I76" s="25">
        <f t="shared" si="5"/>
        <v>1</v>
      </c>
      <c r="J76" s="25">
        <f t="shared" si="5"/>
        <v>2</v>
      </c>
      <c r="K76" s="25">
        <f t="shared" si="5"/>
        <v>7</v>
      </c>
      <c r="L76" s="25">
        <f t="shared" si="5"/>
        <v>5</v>
      </c>
      <c r="M76" s="25">
        <f t="shared" si="5"/>
        <v>8</v>
      </c>
      <c r="N76" s="25">
        <f t="shared" si="5"/>
        <v>6</v>
      </c>
      <c r="O76" s="25">
        <f t="shared" si="5"/>
        <v>7</v>
      </c>
      <c r="P76" s="25">
        <f t="shared" si="5"/>
        <v>7</v>
      </c>
      <c r="Q76" s="25">
        <f t="shared" si="5"/>
        <v>7</v>
      </c>
      <c r="R76" s="25">
        <f t="shared" si="5"/>
        <v>1</v>
      </c>
      <c r="S76" s="25">
        <f t="shared" si="5"/>
        <v>0</v>
      </c>
      <c r="T76" s="25">
        <f t="shared" si="5"/>
        <v>4</v>
      </c>
      <c r="U76" s="25">
        <f t="shared" si="5"/>
        <v>0</v>
      </c>
      <c r="V76" s="25">
        <f>SUM(B76:U76)</f>
        <v>113</v>
      </c>
      <c r="W76"/>
    </row>
    <row r="77" spans="1:23">
      <c r="A77" s="20">
        <v>2</v>
      </c>
      <c r="B77" s="25">
        <f>COUNTIF(B9:B65,2)</f>
        <v>0</v>
      </c>
      <c r="C77" s="25">
        <f t="shared" ref="C77:U77" si="6">COUNTIF(C9:C65,2)</f>
        <v>0</v>
      </c>
      <c r="D77" s="25">
        <f t="shared" si="6"/>
        <v>0</v>
      </c>
      <c r="E77" s="25">
        <f t="shared" si="6"/>
        <v>1</v>
      </c>
      <c r="F77" s="25">
        <f t="shared" si="6"/>
        <v>0</v>
      </c>
      <c r="G77" s="25">
        <f t="shared" si="6"/>
        <v>0</v>
      </c>
      <c r="H77" s="25">
        <f t="shared" si="6"/>
        <v>0</v>
      </c>
      <c r="I77" s="25">
        <f t="shared" si="6"/>
        <v>0</v>
      </c>
      <c r="J77" s="25">
        <f t="shared" si="6"/>
        <v>0</v>
      </c>
      <c r="K77" s="25">
        <f t="shared" si="6"/>
        <v>0</v>
      </c>
      <c r="L77" s="25">
        <f t="shared" si="6"/>
        <v>0</v>
      </c>
      <c r="M77" s="25">
        <f t="shared" si="6"/>
        <v>0</v>
      </c>
      <c r="N77" s="25">
        <f t="shared" si="6"/>
        <v>0</v>
      </c>
      <c r="O77" s="25">
        <f t="shared" si="6"/>
        <v>0</v>
      </c>
      <c r="P77" s="25">
        <f t="shared" si="6"/>
        <v>0</v>
      </c>
      <c r="Q77" s="25">
        <f t="shared" si="6"/>
        <v>1</v>
      </c>
      <c r="R77" s="25">
        <f t="shared" si="6"/>
        <v>0</v>
      </c>
      <c r="S77" s="25">
        <f t="shared" si="6"/>
        <v>0</v>
      </c>
      <c r="T77" s="25">
        <f t="shared" si="6"/>
        <v>0</v>
      </c>
      <c r="U77" s="25">
        <f t="shared" si="6"/>
        <v>0</v>
      </c>
      <c r="V77" s="25">
        <f>SUM(B77:U77)</f>
        <v>2</v>
      </c>
      <c r="W77"/>
    </row>
    <row r="78" spans="1:23">
      <c r="A78" s="20">
        <v>1</v>
      </c>
      <c r="B78" s="25">
        <f>COUNTIF(B13:B69,1)</f>
        <v>0</v>
      </c>
      <c r="C78" s="25">
        <f t="shared" ref="C78:U78" si="7">COUNTIF(C13:C69,1)</f>
        <v>0</v>
      </c>
      <c r="D78" s="25">
        <f t="shared" si="7"/>
        <v>0</v>
      </c>
      <c r="E78" s="25">
        <f t="shared" si="7"/>
        <v>0</v>
      </c>
      <c r="F78" s="25">
        <f t="shared" si="7"/>
        <v>0</v>
      </c>
      <c r="G78" s="25">
        <f t="shared" si="7"/>
        <v>0</v>
      </c>
      <c r="H78" s="25">
        <f t="shared" si="7"/>
        <v>0</v>
      </c>
      <c r="I78" s="25">
        <f t="shared" si="7"/>
        <v>0</v>
      </c>
      <c r="J78" s="25">
        <f t="shared" si="7"/>
        <v>0</v>
      </c>
      <c r="K78" s="25">
        <f t="shared" si="7"/>
        <v>0</v>
      </c>
      <c r="L78" s="25">
        <f t="shared" si="7"/>
        <v>0</v>
      </c>
      <c r="M78" s="25">
        <f t="shared" si="7"/>
        <v>0</v>
      </c>
      <c r="N78" s="25">
        <f t="shared" si="7"/>
        <v>0</v>
      </c>
      <c r="O78" s="25">
        <f t="shared" si="7"/>
        <v>0</v>
      </c>
      <c r="P78" s="25">
        <f t="shared" si="7"/>
        <v>0</v>
      </c>
      <c r="Q78" s="25">
        <f t="shared" si="7"/>
        <v>0</v>
      </c>
      <c r="R78" s="25">
        <f t="shared" si="7"/>
        <v>0</v>
      </c>
      <c r="S78" s="25">
        <f t="shared" si="7"/>
        <v>0</v>
      </c>
      <c r="T78" s="25">
        <f t="shared" si="7"/>
        <v>0</v>
      </c>
      <c r="U78" s="25">
        <f t="shared" si="7"/>
        <v>0</v>
      </c>
      <c r="V78" s="25">
        <f>SUM(B78:U78)</f>
        <v>0</v>
      </c>
      <c r="W78"/>
    </row>
    <row r="79" spans="1:23" ht="15.75">
      <c r="A79" s="26"/>
      <c r="B79" s="26"/>
      <c r="C79" s="26"/>
      <c r="D79" s="26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27"/>
      <c r="W79"/>
    </row>
    <row r="80" spans="1:2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 s="28"/>
    </row>
    <row r="81" spans="1:22"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>
      <c r="A83" s="93" t="s">
        <v>9</v>
      </c>
      <c r="B83" s="93"/>
      <c r="C83" s="93"/>
      <c r="D83" s="93"/>
      <c r="E83" s="93"/>
      <c r="F83" s="29">
        <v>4.70175438596491</v>
      </c>
      <c r="G83" s="29">
        <v>4.7543859649122799</v>
      </c>
      <c r="H83" s="29">
        <v>4.6140350877192997</v>
      </c>
      <c r="I83" s="29">
        <v>4.45614035087719</v>
      </c>
      <c r="J83" s="29">
        <v>4.5263157894736796</v>
      </c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s="93" t="s">
        <v>10</v>
      </c>
      <c r="B84" s="93"/>
      <c r="C84" s="93"/>
      <c r="D84" s="93"/>
      <c r="E84" s="93"/>
      <c r="F84" s="29">
        <v>4.5789473684210504</v>
      </c>
      <c r="G84" s="29">
        <v>4.59649122807018</v>
      </c>
      <c r="H84" s="29">
        <v>4.7192982456140404</v>
      </c>
      <c r="I84" s="29">
        <v>4.70175438596491</v>
      </c>
      <c r="J84" s="29">
        <v>4.59649122807018</v>
      </c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s="93" t="s">
        <v>14</v>
      </c>
      <c r="B85" s="93"/>
      <c r="C85" s="93"/>
      <c r="D85" s="93"/>
      <c r="E85" s="93"/>
      <c r="F85" s="29">
        <v>4.59649122807018</v>
      </c>
      <c r="G85" s="29">
        <v>4.5263157894736796</v>
      </c>
      <c r="H85" s="29">
        <v>4.5087719298245599</v>
      </c>
      <c r="I85" s="29">
        <v>4.4912280701754401</v>
      </c>
      <c r="J85" s="29">
        <v>4.5614035087719298</v>
      </c>
    </row>
    <row r="86" spans="1:22" ht="15" customHeight="1">
      <c r="A86" s="93" t="s">
        <v>12</v>
      </c>
      <c r="B86" s="93"/>
      <c r="C86" s="93"/>
      <c r="D86" s="93"/>
      <c r="E86" s="93"/>
      <c r="F86" s="29">
        <v>4.45614035087719</v>
      </c>
      <c r="G86" s="29">
        <v>4.7894736842105301</v>
      </c>
      <c r="H86" s="29">
        <v>4.8070175438596499</v>
      </c>
      <c r="I86" s="29">
        <v>4.7192982456140404</v>
      </c>
      <c r="J86" s="29">
        <v>4.6158818097876297</v>
      </c>
    </row>
    <row r="87" spans="1:22" ht="15" customHeight="1"/>
    <row r="88" spans="1:22" ht="15" customHeight="1"/>
    <row r="89" spans="1:22" ht="15" customHeight="1"/>
    <row r="91" spans="1:22" ht="15" customHeight="1"/>
    <row r="92" spans="1:22" ht="15" customHeight="1"/>
    <row r="93" spans="1:22" ht="15.75" customHeight="1">
      <c r="A93" s="30"/>
      <c r="B93" s="30"/>
      <c r="C93" s="30"/>
      <c r="D93" s="30"/>
      <c r="E93" s="30"/>
      <c r="F93" s="30"/>
      <c r="G93" s="30"/>
      <c r="H93" s="30"/>
      <c r="I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spans="1:22" ht="15" customHeight="1">
      <c r="A94" s="30"/>
      <c r="B94" s="30"/>
    </row>
    <row r="109" spans="1:20" ht="15.75">
      <c r="A109" s="30" t="s">
        <v>15</v>
      </c>
      <c r="B109" s="30"/>
      <c r="C109" s="30"/>
      <c r="J109" s="30" t="s">
        <v>16</v>
      </c>
      <c r="K109" s="30"/>
      <c r="L109" s="30"/>
      <c r="T109" s="30" t="s">
        <v>17</v>
      </c>
    </row>
  </sheetData>
  <mergeCells count="14">
    <mergeCell ref="A72:V72"/>
    <mergeCell ref="A83:E83"/>
    <mergeCell ref="A84:E84"/>
    <mergeCell ref="A85:E85"/>
    <mergeCell ref="A86:E86"/>
    <mergeCell ref="A4:V4"/>
    <mergeCell ref="A5:V5"/>
    <mergeCell ref="F6:P6"/>
    <mergeCell ref="B70:F70"/>
    <mergeCell ref="G70:K70"/>
    <mergeCell ref="L70:P70"/>
    <mergeCell ref="Q70:U70"/>
    <mergeCell ref="A69:A71"/>
    <mergeCell ref="V69:V70"/>
  </mergeCells>
  <pageMargins left="0.196527777777778" right="0.196527777777778" top="1" bottom="1" header="0.5" footer="0.5"/>
  <pageSetup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CN</vt:lpstr>
      <vt:lpstr>TOC</vt:lpstr>
      <vt:lpstr>SE</vt:lpstr>
      <vt:lpstr>OS</vt:lpstr>
      <vt:lpstr>OS lab</vt:lpstr>
      <vt:lpstr>DBS lab</vt:lpstr>
      <vt:lpstr>CN  lab</vt:lpstr>
      <vt:lpstr>DBMS</vt:lpstr>
      <vt:lpstr>COI</vt:lpstr>
      <vt:lpstr>CN!Print_Area</vt:lpstr>
      <vt:lpstr>'DBS lab'!Print_Area</vt:lpstr>
      <vt:lpstr>OS!Print_Area</vt:lpstr>
      <vt:lpstr>'OS lab'!Print_Area</vt:lpstr>
      <vt:lpstr>TOC!Print_Area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MitStaff</dc:creator>
  <cp:lastModifiedBy>print</cp:lastModifiedBy>
  <cp:lastPrinted>2026-08-18T10:43:40Z</cp:lastPrinted>
  <dcterms:created xsi:type="dcterms:W3CDTF">2016-07-26T09:20:00Z</dcterms:created>
  <dcterms:modified xsi:type="dcterms:W3CDTF">2026-08-18T10:43:47Z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CA31DB23D2BF4B188556E754826A125A_13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